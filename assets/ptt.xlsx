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charts/chart16.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codeName="ThisWorkbook"/>
  <mc:AlternateContent xmlns:mc="http://schemas.openxmlformats.org/markup-compatibility/2006">
    <mc:Choice Requires="x15">
      <x15ac:absPath xmlns:x15ac="http://schemas.microsoft.com/office/spreadsheetml/2010/11/ac" url="C:\Users\Walaa'\Dropbox\consultancies\Nawa M&amp;E assignment\MEAL system development\3. MEAL SoPs\MEAL tracking tools\"/>
    </mc:Choice>
  </mc:AlternateContent>
  <xr:revisionPtr revIDLastSave="0" documentId="13_ncr:1_{04A3ECDC-0BAE-4737-872E-913E3A56868F}" xr6:coauthVersionLast="45" xr6:coauthVersionMax="45" xr10:uidLastSave="{00000000-0000-0000-0000-000000000000}"/>
  <bookViews>
    <workbookView xWindow="-120" yWindow="-120" windowWidth="20730" windowHeight="11160" tabRatio="867" firstSheet="3" activeTab="3" xr2:uid="{00000000-000D-0000-FFFF-FFFF00000000}"/>
  </bookViews>
  <sheets>
    <sheet name="Instructions" sheetId="22" r:id="rId1"/>
    <sheet name="Poject Info. Sheet" sheetId="14" r:id="rId2"/>
    <sheet name="Log frame" sheetId="19" r:id="rId3"/>
    <sheet name="Overview Dashboard" sheetId="16" r:id="rId4"/>
    <sheet name="Indicator Profile" sheetId="12" r:id="rId5"/>
    <sheet name="Project Work plan" sheetId="4" r:id="rId6"/>
    <sheet name="ورقة1" sheetId="20" state="hidden" r:id="rId7"/>
    <sheet name="Project Tracking Table -PTT" sheetId="1" r:id="rId8"/>
    <sheet name="Output indicators" sheetId="23" r:id="rId9"/>
    <sheet name="Outcome indicators" sheetId="25" r:id="rId10"/>
    <sheet name="Beneficiaries Breakdown" sheetId="17" r:id="rId11"/>
    <sheet name="MEAL Calendar" sheetId="18" r:id="rId12"/>
    <sheet name="Assumptions Monitoring" sheetId="13" r:id="rId13"/>
    <sheet name="Learning Managment Process" sheetId="7"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_xlnm._FilterDatabase" localSheetId="11" hidden="1">'MEAL Calendar'!#REF!</definedName>
    <definedName name="_Order1" hidden="1">255</definedName>
    <definedName name="_Order2" hidden="1">255</definedName>
    <definedName name="_TWM3">[1]Djabal_materials!$M$277</definedName>
    <definedName name="a" localSheetId="0">#REF!</definedName>
    <definedName name="a">#REF!</definedName>
    <definedName name="aa" localSheetId="0">[0]!See_all_items</definedName>
    <definedName name="aa">[2]!See_all_items</definedName>
    <definedName name="aq" localSheetId="0">#REF!</definedName>
    <definedName name="aq">#REF!</definedName>
    <definedName name="atot" localSheetId="0">#REF!</definedName>
    <definedName name="atot">#REF!</definedName>
    <definedName name="atuot" localSheetId="0">#REF!</definedName>
    <definedName name="atuot">#REF!</definedName>
    <definedName name="az" localSheetId="0">#REF!</definedName>
    <definedName name="az">#REF!</definedName>
    <definedName name="b" localSheetId="0">#REF!</definedName>
    <definedName name="b">#REF!</definedName>
    <definedName name="BASE" localSheetId="0">#REF!</definedName>
    <definedName name="BASE">#REF!</definedName>
    <definedName name="Bom" localSheetId="0">#REF!</definedName>
    <definedName name="Bom">#REF!</definedName>
    <definedName name="btot" localSheetId="0">#REF!</definedName>
    <definedName name="btot">#REF!</definedName>
    <definedName name="budget" localSheetId="0">'[3]Budget Line Item'!#REF!</definedName>
    <definedName name="budget">'[3]Budget Line Item'!#REF!</definedName>
    <definedName name="budtot" localSheetId="0">#REF!</definedName>
    <definedName name="budtot">#REF!</definedName>
    <definedName name="budtotpart">'[4]5.1 Budget partners'!$J$86</definedName>
    <definedName name="ca" localSheetId="0">#REF!</definedName>
    <definedName name="ca">#REF!</definedName>
    <definedName name="cami" localSheetId="0">#REF!</definedName>
    <definedName name="cami">#REF!</definedName>
    <definedName name="cd" localSheetId="0">#REF!</definedName>
    <definedName name="cd">#REF!</definedName>
    <definedName name="Col_Headings" localSheetId="0">#REF!</definedName>
    <definedName name="Col_Headings">#REF!</definedName>
    <definedName name="_xlnm.Criteria" localSheetId="0">#REF!</definedName>
    <definedName name="_xlnm.Criteria">#REF!</definedName>
    <definedName name="ctot" localSheetId="0">#REF!</definedName>
    <definedName name="ctot">#REF!</definedName>
    <definedName name="d" localSheetId="0">#REF!</definedName>
    <definedName name="d">#REF!</definedName>
    <definedName name="dash">#REF!</definedName>
    <definedName name="datalookuparea">'[5]Scoring Base input'!$A$7:$AV$99</definedName>
    <definedName name="ddddddddddd" localSheetId="0">#REF!</definedName>
    <definedName name="ddddddddddd">#REF!</definedName>
    <definedName name="dtot" localSheetId="0">#REF!</definedName>
    <definedName name="dtot">#REF!</definedName>
    <definedName name="dz" localSheetId="0">#REF!</definedName>
    <definedName name="dz">#REF!</definedName>
    <definedName name="es" localSheetId="0">#REF!</definedName>
    <definedName name="es">#REF!</definedName>
    <definedName name="FCT_DETAIL1">'[6]1 Parameters'!$AX$6:$AX$115</definedName>
    <definedName name="FCT_DETAIL2">'[6]1 Parameters'!$AX$6:$AY$115</definedName>
    <definedName name="FCT_NOMCATCOMPTA">'[6]1 Parameters'!$AR$6:$AR$28</definedName>
    <definedName name="ff">#REF!</definedName>
    <definedName name="ftot" localSheetId="0">#REF!</definedName>
    <definedName name="ftot">#REF!</definedName>
    <definedName name="ganttSymbols" localSheetId="0">[7]Legend!$D$3:$D$6</definedName>
    <definedName name="ganttSymbols">[8]Legend!$D$3:$D$6</definedName>
    <definedName name="gtot" localSheetId="0">#REF!</definedName>
    <definedName name="gtot">#REF!</definedName>
    <definedName name="htot" localSheetId="0">#REF!</definedName>
    <definedName name="htot">#REF!</definedName>
    <definedName name="Ingégrétriannuel" localSheetId="0">#REF!</definedName>
    <definedName name="Ingégrétriannuel">#REF!</definedName>
    <definedName name="ktot" localSheetId="0">#REF!</definedName>
    <definedName name="ktot">#REF!</definedName>
    <definedName name="legality">#REF!</definedName>
    <definedName name="list_total">[1]Djabal_materials!$B$2:$P$276</definedName>
    <definedName name="ltot" localSheetId="0">#REF!</definedName>
    <definedName name="ltot">#REF!</definedName>
    <definedName name="ma" localSheetId="0">#REF!</definedName>
    <definedName name="ma">#REF!</definedName>
    <definedName name="mide" localSheetId="0">#REF!</definedName>
    <definedName name="mide">#REF!</definedName>
    <definedName name="mm" localSheetId="0">#REF!</definedName>
    <definedName name="mm">#REF!</definedName>
    <definedName name="mo" localSheetId="0">#REF!</definedName>
    <definedName name="mo">#REF!</definedName>
    <definedName name="mqq" localSheetId="0">#REF!</definedName>
    <definedName name="mqq">#REF!</definedName>
    <definedName name="nb" localSheetId="0">#REF!</definedName>
    <definedName name="nb">#REF!</definedName>
    <definedName name="nc" localSheetId="0">#REF!</definedName>
    <definedName name="nc">#REF!</definedName>
    <definedName name="ne" localSheetId="0">#REF!</definedName>
    <definedName name="ne">#REF!</definedName>
    <definedName name="ntot" localSheetId="0">#REF!</definedName>
    <definedName name="ntot">#REF!</definedName>
    <definedName name="Omou" localSheetId="0">#REF!</definedName>
    <definedName name="Omou">#REF!</definedName>
    <definedName name="otot" localSheetId="0">#REF!</definedName>
    <definedName name="otot">#REF!</definedName>
    <definedName name="Page1" localSheetId="0">#REF!</definedName>
    <definedName name="Page1">#REF!</definedName>
    <definedName name="Page2" localSheetId="0">#REF!</definedName>
    <definedName name="Page2">#REF!</definedName>
    <definedName name="Page3" localSheetId="0">#REF!</definedName>
    <definedName name="Page3">#REF!</definedName>
    <definedName name="Page4" localSheetId="0">#REF!</definedName>
    <definedName name="Page4">#REF!</definedName>
    <definedName name="Page5" localSheetId="0">#REF!</definedName>
    <definedName name="Page5">#REF!</definedName>
    <definedName name="Page6" localSheetId="0">#REF!</definedName>
    <definedName name="Page6">#REF!</definedName>
    <definedName name="POSTE" localSheetId="0">#REF!</definedName>
    <definedName name="POSTE">#REF!</definedName>
    <definedName name="pr" localSheetId="0">#REF!</definedName>
    <definedName name="pr">#REF!</definedName>
    <definedName name="_xlnm.Print_Titles" localSheetId="11">'MEAL Calendar'!$A:$B,'MEAL Calendar'!$1:$2</definedName>
    <definedName name="Produce_Invoice">#N/A</definedName>
    <definedName name="Produce_Invoice1">#N/A</definedName>
    <definedName name="Produce_Invoice10">#N/A</definedName>
    <definedName name="Produce_Invoice11">#N/A</definedName>
    <definedName name="Produce_Invoice2">#N/A</definedName>
    <definedName name="Produce_Invoice4">#N/A</definedName>
    <definedName name="Produce_Invoice6">#N/A</definedName>
    <definedName name="Produce_Invoice7">#N/A</definedName>
    <definedName name="Produce_Invoice8">#N/A</definedName>
    <definedName name="Produce_Invoice9">#N/A</definedName>
    <definedName name="product_Invoice3" localSheetId="0">[0]!Produce_Invoice</definedName>
    <definedName name="product_Invoice3">[2]!Produce_Invoice</definedName>
    <definedName name="PROJETS">[9]PARAMETRES!$E$4:$E$23</definedName>
    <definedName name="ptot" localSheetId="0">#REF!</definedName>
    <definedName name="ptot">#REF!</definedName>
    <definedName name="pu" localSheetId="0">#REF!</definedName>
    <definedName name="pu">#REF!</definedName>
    <definedName name="RANGE">[10]Journal!$A$6:$C$160</definedName>
    <definedName name="ReportCodes" localSheetId="0">#REF!</definedName>
    <definedName name="ReportCodes">#REF!</definedName>
    <definedName name="SCORE">#REF!</definedName>
    <definedName name="See_all_items">#N/A</definedName>
    <definedName name="See_all_items1">#N/A</definedName>
    <definedName name="See_all_items10">#N/A</definedName>
    <definedName name="See_all_items11">#N/A</definedName>
    <definedName name="See_all_items2">#N/A</definedName>
    <definedName name="See_all_items3" localSheetId="0">[0]!See_all_items</definedName>
    <definedName name="See_all_items3">[2]!See_all_items</definedName>
    <definedName name="See_all_items5">#N/A</definedName>
    <definedName name="See_all_items6">#N/A</definedName>
    <definedName name="See_all_items7">#N/A</definedName>
    <definedName name="See_all_items8">#N/A</definedName>
    <definedName name="See_all_items9">#N/A</definedName>
    <definedName name="ss" localSheetId="0">[0]!zzzzzzzzzzzzzzzzzzzz</definedName>
    <definedName name="ss">[2]!zzzzzzzzzzzzzzzzzzzz</definedName>
    <definedName name="STATUT" localSheetId="0">#REF!</definedName>
    <definedName name="STATUT">#REF!</definedName>
    <definedName name="STATUTEXP">[9]PARAMETRES!$AD$3:$AD$4</definedName>
    <definedName name="stot" localSheetId="0">#REF!</definedName>
    <definedName name="stot">#REF!</definedName>
    <definedName name="Toto">[1]LIST!$B$2:$P$272</definedName>
    <definedName name="ttot" localSheetId="0">#REF!</definedName>
    <definedName name="ttot">#REF!</definedName>
    <definedName name="TWKG">[1]Djabal_materials!$L$277</definedName>
    <definedName name="TX_" localSheetId="0">#REF!</definedName>
    <definedName name="TX_">#REF!</definedName>
    <definedName name="vb" localSheetId="0">#REF!</definedName>
    <definedName name="vb">#REF!</definedName>
    <definedName name="vtot" localSheetId="0">#REF!</definedName>
    <definedName name="vtot">#REF!</definedName>
    <definedName name="wnnn" localSheetId="0">#REF!</definedName>
    <definedName name="wnnn">#REF!</definedName>
    <definedName name="ws" localSheetId="0">#REF!</definedName>
    <definedName name="ws">#REF!</definedName>
    <definedName name="wtot" localSheetId="0">#REF!</definedName>
    <definedName name="wtot">#REF!</definedName>
    <definedName name="xtot" localSheetId="0">#REF!</definedName>
    <definedName name="xtot">#REF!</definedName>
    <definedName name="YESNO">#REF!</definedName>
    <definedName name="z0tot" localSheetId="0">#REF!</definedName>
    <definedName name="z0tot">#REF!</definedName>
    <definedName name="zatot" localSheetId="0">#REF!</definedName>
    <definedName name="zatot">#REF!</definedName>
    <definedName name="zbtot" localSheetId="0">#REF!</definedName>
    <definedName name="zbtot">#REF!</definedName>
    <definedName name="zctot" localSheetId="0">#REF!</definedName>
    <definedName name="zctot">#REF!</definedName>
    <definedName name="ztot" localSheetId="0">#REF!</definedName>
    <definedName name="ztot">#REF!</definedName>
    <definedName name="zzztot" localSheetId="0">#REF!</definedName>
    <definedName name="zzztot">#REF!</definedName>
    <definedName name="zzzzzzzzzzzzzzzzzzz1">#N/A</definedName>
    <definedName name="zzzzzzzzzzzzzzzzzzz10">#N/A</definedName>
    <definedName name="zzzzzzzzzzzzzzzzzzz11">#N/A</definedName>
    <definedName name="zzzzzzzzzzzzzzzzzzz6">#N/A</definedName>
    <definedName name="zzzzzzzzzzzzzzzzzzz7">#N/A</definedName>
    <definedName name="zzzzzzzzzzzzzzzzzzz8">#N/A</definedName>
    <definedName name="zzzzzzzzzzzzzzzzzzz9">#N/A</definedName>
    <definedName name="zzzzzzzzzzzzzzzzzzzz">#N/A</definedName>
    <definedName name="zzzzzzzzzzzzzzzzzzzz2">#N/A</definedName>
    <definedName name="zzzzzzzzzzzzzzzzzzzz3" localSheetId="0">[0]!zzzzzzzzzzzzzzzzzzzz</definedName>
    <definedName name="zzzzzzzzzzzzzzzzzzzz3">[2]!zzzzzzzzzzzzzzzzzzzz</definedName>
    <definedName name="ششششش">[0]!See_all_items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8" i="17" l="1"/>
  <c r="E29" i="17"/>
  <c r="D29" i="17"/>
  <c r="E19" i="17"/>
  <c r="E14" i="17"/>
  <c r="R107" i="17"/>
  <c r="Q107" i="17"/>
  <c r="P107" i="17"/>
  <c r="O107" i="17"/>
  <c r="N107" i="17"/>
  <c r="M107" i="17"/>
  <c r="L107" i="17"/>
  <c r="K107" i="17"/>
  <c r="J107" i="17"/>
  <c r="I107" i="17"/>
  <c r="H107" i="17"/>
  <c r="G107" i="17"/>
  <c r="F107" i="17"/>
  <c r="E107" i="17"/>
  <c r="R99" i="17"/>
  <c r="Q99" i="17"/>
  <c r="P99" i="17"/>
  <c r="O99" i="17"/>
  <c r="N99" i="17"/>
  <c r="M99" i="17"/>
  <c r="L99" i="17"/>
  <c r="K99" i="17"/>
  <c r="J99" i="17"/>
  <c r="I99" i="17"/>
  <c r="H99" i="17"/>
  <c r="G99" i="17"/>
  <c r="F99" i="17"/>
  <c r="E99" i="17"/>
  <c r="R90" i="17"/>
  <c r="Q90" i="17"/>
  <c r="P90" i="17"/>
  <c r="D24" i="17" s="1"/>
  <c r="O90" i="17"/>
  <c r="N90" i="17"/>
  <c r="M90" i="17"/>
  <c r="L90" i="17"/>
  <c r="K90" i="17"/>
  <c r="J90" i="17"/>
  <c r="I90" i="17"/>
  <c r="H90" i="17"/>
  <c r="G90" i="17"/>
  <c r="F90" i="17"/>
  <c r="E90" i="17"/>
  <c r="R82" i="17"/>
  <c r="Q82" i="17"/>
  <c r="E24" i="17" s="1"/>
  <c r="P82" i="17"/>
  <c r="O82" i="17"/>
  <c r="N82" i="17"/>
  <c r="M82" i="17"/>
  <c r="L82" i="17"/>
  <c r="K82" i="17"/>
  <c r="J82" i="17"/>
  <c r="I82" i="17"/>
  <c r="H82" i="17"/>
  <c r="G82" i="17"/>
  <c r="F82" i="17"/>
  <c r="E82" i="17"/>
  <c r="R73" i="17"/>
  <c r="Q73" i="17"/>
  <c r="D19" i="17" s="1"/>
  <c r="P73" i="17"/>
  <c r="O73" i="17"/>
  <c r="N73" i="17"/>
  <c r="M73" i="17"/>
  <c r="L73" i="17"/>
  <c r="K73" i="17"/>
  <c r="J73" i="17"/>
  <c r="I73" i="17"/>
  <c r="H73" i="17"/>
  <c r="G73" i="17"/>
  <c r="F73" i="17"/>
  <c r="E73" i="17"/>
  <c r="R65" i="17"/>
  <c r="Q65" i="17"/>
  <c r="P65" i="17"/>
  <c r="O65" i="17"/>
  <c r="N65" i="17"/>
  <c r="M65" i="17"/>
  <c r="L65" i="17"/>
  <c r="K65" i="17"/>
  <c r="J65" i="17"/>
  <c r="I65" i="17"/>
  <c r="H65" i="17"/>
  <c r="G65" i="17"/>
  <c r="F65" i="17"/>
  <c r="E65" i="17"/>
  <c r="R56" i="17"/>
  <c r="Q56" i="17"/>
  <c r="P56" i="17"/>
  <c r="O56" i="17"/>
  <c r="D14" i="17" s="1"/>
  <c r="N56" i="17"/>
  <c r="M56" i="17"/>
  <c r="L56" i="17"/>
  <c r="K56" i="17"/>
  <c r="J56" i="17"/>
  <c r="I56" i="17"/>
  <c r="H56" i="17"/>
  <c r="G56" i="17"/>
  <c r="F56" i="17"/>
  <c r="E56" i="17"/>
  <c r="R48" i="17"/>
  <c r="Q48" i="17"/>
  <c r="P48" i="17"/>
  <c r="O48" i="17"/>
  <c r="N48" i="17"/>
  <c r="M48" i="17"/>
  <c r="L48" i="17"/>
  <c r="F48" i="17"/>
  <c r="G48" i="17"/>
  <c r="H48" i="17"/>
  <c r="I48" i="17"/>
  <c r="J48" i="17"/>
  <c r="K48" i="17"/>
  <c r="E48" i="17"/>
  <c r="BE7" i="4" l="1"/>
  <c r="BE9" i="4"/>
  <c r="BE11" i="4"/>
  <c r="BE13" i="4"/>
  <c r="BE15" i="4"/>
  <c r="BE17" i="4"/>
  <c r="BE19" i="4"/>
  <c r="BE21" i="4"/>
  <c r="BE23" i="4"/>
  <c r="BE25" i="4"/>
  <c r="BE27" i="4"/>
  <c r="BE29" i="4"/>
  <c r="BE31" i="4"/>
  <c r="BE33" i="4"/>
  <c r="BE35" i="4"/>
  <c r="BE37" i="4"/>
  <c r="BE39" i="4"/>
  <c r="BE41" i="4"/>
  <c r="BE43" i="4"/>
  <c r="BE45" i="4"/>
  <c r="BE47" i="4"/>
  <c r="BE49" i="4"/>
  <c r="BE51" i="4"/>
  <c r="BE53" i="4"/>
  <c r="BE55" i="4"/>
  <c r="BE57" i="4"/>
  <c r="BE59" i="4"/>
  <c r="BE61" i="4"/>
  <c r="BE63" i="4"/>
  <c r="BE65" i="4"/>
  <c r="BE67" i="4"/>
  <c r="BE69" i="4"/>
  <c r="BE71" i="4"/>
  <c r="BE73" i="4"/>
  <c r="BE75" i="4"/>
  <c r="BE77" i="4"/>
  <c r="BE79" i="4"/>
  <c r="BE81" i="4"/>
  <c r="BE83" i="4"/>
  <c r="BE85" i="4"/>
  <c r="BE87" i="4"/>
  <c r="BE89" i="4"/>
  <c r="BE91" i="4"/>
  <c r="BE93" i="4"/>
  <c r="BE95" i="4"/>
  <c r="BE97" i="4"/>
  <c r="BE99" i="4"/>
  <c r="BE101" i="4"/>
  <c r="BE103" i="4"/>
  <c r="D28" i="17" l="1"/>
  <c r="AZ5" i="23"/>
  <c r="BA5" i="23"/>
  <c r="BB5" i="23"/>
  <c r="BC5" i="23"/>
  <c r="AZ6" i="23"/>
  <c r="BA6" i="23"/>
  <c r="BB6" i="23"/>
  <c r="BC6" i="23"/>
  <c r="AZ7" i="23"/>
  <c r="BA7" i="23"/>
  <c r="BB7" i="23"/>
  <c r="BC7" i="23"/>
  <c r="AZ8" i="23"/>
  <c r="BA8" i="23"/>
  <c r="BB8" i="23"/>
  <c r="BC8" i="23"/>
  <c r="AZ9" i="23"/>
  <c r="BA9" i="23"/>
  <c r="BB9" i="23"/>
  <c r="BC9" i="23"/>
  <c r="AZ10" i="23"/>
  <c r="BA10" i="23"/>
  <c r="BB10" i="23"/>
  <c r="BC10" i="23"/>
  <c r="AZ11" i="23"/>
  <c r="BA11" i="23"/>
  <c r="BB11" i="23"/>
  <c r="BC11" i="23"/>
  <c r="AZ12" i="23"/>
  <c r="BA12" i="23"/>
  <c r="BB12" i="23"/>
  <c r="BC12" i="23"/>
  <c r="AZ13" i="23"/>
  <c r="BA13" i="23"/>
  <c r="BB13" i="23"/>
  <c r="BC13" i="23"/>
  <c r="AZ14" i="23"/>
  <c r="BA14" i="23"/>
  <c r="BB14" i="23"/>
  <c r="BC14" i="23"/>
  <c r="AZ15" i="23"/>
  <c r="BA15" i="23"/>
  <c r="BB15" i="23"/>
  <c r="BC15" i="23"/>
  <c r="AZ16" i="23"/>
  <c r="BA16" i="23"/>
  <c r="BB16" i="23"/>
  <c r="BC16" i="23"/>
  <c r="D2" i="16"/>
  <c r="D1" i="16"/>
  <c r="U15" i="1" l="1"/>
  <c r="P15" i="1"/>
  <c r="K5" i="1"/>
  <c r="L5" i="1"/>
  <c r="M5" i="1"/>
  <c r="N5" i="1"/>
  <c r="O22" i="1"/>
  <c r="O23" i="1"/>
  <c r="O21" i="1"/>
  <c r="O14" i="1"/>
  <c r="O16" i="1"/>
  <c r="O13" i="1"/>
  <c r="O8" i="1"/>
  <c r="O9" i="1"/>
  <c r="O10" i="1"/>
  <c r="O11" i="1"/>
  <c r="O12" i="1"/>
  <c r="O7" i="1"/>
  <c r="O4" i="1"/>
  <c r="O3" i="1"/>
  <c r="P6" i="1"/>
  <c r="U6" i="1" s="1"/>
  <c r="AI6" i="25"/>
  <c r="U12" i="1" l="1"/>
  <c r="O5" i="1"/>
  <c r="J12" i="1"/>
  <c r="J11" i="1"/>
  <c r="J10" i="1"/>
  <c r="J9" i="1"/>
  <c r="J8" i="1"/>
  <c r="J7" i="1"/>
  <c r="J4" i="1"/>
  <c r="J3" i="1"/>
  <c r="AI5" i="25"/>
  <c r="P4" i="1" s="1"/>
  <c r="U4" i="1" s="1"/>
  <c r="AJ5" i="25"/>
  <c r="Q4" i="1" s="1"/>
  <c r="V4" i="1" s="1"/>
  <c r="AK5" i="25"/>
  <c r="R4" i="1" s="1"/>
  <c r="W4" i="1" s="1"/>
  <c r="AL5" i="25"/>
  <c r="S4" i="1" s="1"/>
  <c r="X4" i="1" s="1"/>
  <c r="AI7" i="25"/>
  <c r="P7" i="1" s="1"/>
  <c r="AJ7" i="25"/>
  <c r="Q7" i="1" s="1"/>
  <c r="AK7" i="25"/>
  <c r="R7" i="1" s="1"/>
  <c r="AL7" i="25"/>
  <c r="S7" i="1" s="1"/>
  <c r="AI8" i="25"/>
  <c r="P8" i="1" s="1"/>
  <c r="T8" i="1" s="1"/>
  <c r="Y8" i="1" s="1"/>
  <c r="AJ8" i="25"/>
  <c r="Q8" i="1" s="1"/>
  <c r="V8" i="1" s="1"/>
  <c r="AK8" i="25"/>
  <c r="R8" i="1" s="1"/>
  <c r="W8" i="1" s="1"/>
  <c r="AL8" i="25"/>
  <c r="S8" i="1" s="1"/>
  <c r="X8" i="1" s="1"/>
  <c r="AI9" i="25"/>
  <c r="P9" i="1" s="1"/>
  <c r="AJ9" i="25"/>
  <c r="Q9" i="1" s="1"/>
  <c r="V9" i="1" s="1"/>
  <c r="AK9" i="25"/>
  <c r="R9" i="1" s="1"/>
  <c r="W9" i="1" s="1"/>
  <c r="AL9" i="25"/>
  <c r="S9" i="1" s="1"/>
  <c r="X9" i="1" s="1"/>
  <c r="AI10" i="25"/>
  <c r="P10" i="1" s="1"/>
  <c r="AJ10" i="25"/>
  <c r="Q10" i="1" s="1"/>
  <c r="V10" i="1" s="1"/>
  <c r="AK10" i="25"/>
  <c r="R10" i="1" s="1"/>
  <c r="W10" i="1" s="1"/>
  <c r="AL10" i="25"/>
  <c r="S10" i="1" s="1"/>
  <c r="X10" i="1" s="1"/>
  <c r="AI11" i="25"/>
  <c r="P11" i="1" s="1"/>
  <c r="U11" i="1" s="1"/>
  <c r="AJ11" i="25"/>
  <c r="Q11" i="1" s="1"/>
  <c r="V11" i="1" s="1"/>
  <c r="AK11" i="25"/>
  <c r="R11" i="1" s="1"/>
  <c r="W11" i="1" s="1"/>
  <c r="AL11" i="25"/>
  <c r="S11" i="1" s="1"/>
  <c r="X11" i="1" s="1"/>
  <c r="AI12" i="25"/>
  <c r="P12" i="1" s="1"/>
  <c r="T12" i="1" s="1"/>
  <c r="Y12" i="1" s="1"/>
  <c r="AJ12" i="25"/>
  <c r="Q12" i="1" s="1"/>
  <c r="V12" i="1" s="1"/>
  <c r="AK12" i="25"/>
  <c r="R12" i="1" s="1"/>
  <c r="W12" i="1" s="1"/>
  <c r="AL12" i="25"/>
  <c r="S12" i="1" s="1"/>
  <c r="X12" i="1" s="1"/>
  <c r="AJ4" i="25"/>
  <c r="Q3" i="1" s="1"/>
  <c r="AK4" i="25"/>
  <c r="R3" i="1" s="1"/>
  <c r="AL4" i="25"/>
  <c r="S3" i="1" s="1"/>
  <c r="AI4" i="25"/>
  <c r="P3" i="1" s="1"/>
  <c r="P25" i="1"/>
  <c r="U25" i="1" s="1"/>
  <c r="P24" i="1"/>
  <c r="P20" i="1"/>
  <c r="U20" i="1" s="1"/>
  <c r="P19" i="1"/>
  <c r="U19" i="1" s="1"/>
  <c r="P18" i="1"/>
  <c r="U18" i="1" s="1"/>
  <c r="P14" i="1"/>
  <c r="U14" i="1" s="1"/>
  <c r="Q14" i="1"/>
  <c r="V14" i="1" s="1"/>
  <c r="R14" i="1"/>
  <c r="W14" i="1" s="1"/>
  <c r="S14" i="1"/>
  <c r="X14" i="1" s="1"/>
  <c r="P16" i="1"/>
  <c r="Q16" i="1"/>
  <c r="R16" i="1"/>
  <c r="S16" i="1"/>
  <c r="P17" i="1"/>
  <c r="U17" i="1" s="1"/>
  <c r="P21" i="1"/>
  <c r="Q21" i="1"/>
  <c r="R21" i="1"/>
  <c r="S21" i="1"/>
  <c r="P22" i="1"/>
  <c r="Q22" i="1"/>
  <c r="V22" i="1" s="1"/>
  <c r="R22" i="1"/>
  <c r="W22" i="1" s="1"/>
  <c r="P23" i="1"/>
  <c r="Q23" i="1"/>
  <c r="V23" i="1" s="1"/>
  <c r="R23" i="1"/>
  <c r="W23" i="1" s="1"/>
  <c r="S23" i="1"/>
  <c r="X23" i="1" s="1"/>
  <c r="BA4" i="23"/>
  <c r="Q13" i="1" s="1"/>
  <c r="V13" i="1" s="1"/>
  <c r="BB4" i="23"/>
  <c r="R13" i="1" s="1"/>
  <c r="W13" i="1" s="1"/>
  <c r="BC4" i="23"/>
  <c r="S13" i="1" s="1"/>
  <c r="X13" i="1" s="1"/>
  <c r="AZ4" i="23"/>
  <c r="P13" i="1" s="1"/>
  <c r="T9" i="1" l="1"/>
  <c r="Y9" i="1" s="1"/>
  <c r="U9" i="1"/>
  <c r="U10" i="1"/>
  <c r="T10" i="1"/>
  <c r="Y10" i="1" s="1"/>
  <c r="T11" i="1"/>
  <c r="Y11" i="1" s="1"/>
  <c r="U8" i="1"/>
  <c r="X22" i="1"/>
  <c r="S22" i="1"/>
  <c r="U13" i="1"/>
  <c r="T13" i="1"/>
  <c r="Y13" i="1" s="1"/>
  <c r="T23" i="1"/>
  <c r="Y23" i="1" s="1"/>
  <c r="U23" i="1"/>
  <c r="T22" i="1"/>
  <c r="Y22" i="1" s="1"/>
  <c r="U22" i="1"/>
  <c r="T14" i="1"/>
  <c r="Y14" i="1" s="1"/>
  <c r="T4" i="1"/>
  <c r="Y4" i="1" s="1"/>
  <c r="T106" i="17"/>
  <c r="S106" i="17"/>
  <c r="T105" i="17"/>
  <c r="S105" i="17"/>
  <c r="T104" i="17"/>
  <c r="S104" i="17"/>
  <c r="T103" i="17"/>
  <c r="S103" i="17"/>
  <c r="T102" i="17"/>
  <c r="S102" i="17"/>
  <c r="I27" i="17"/>
  <c r="T98" i="17"/>
  <c r="S98" i="17"/>
  <c r="T97" i="17"/>
  <c r="S97" i="17"/>
  <c r="K27" i="17" s="1"/>
  <c r="T96" i="17"/>
  <c r="S96" i="17"/>
  <c r="T95" i="17"/>
  <c r="S95" i="17"/>
  <c r="T94" i="17"/>
  <c r="F27" i="17" s="1"/>
  <c r="S94" i="17"/>
  <c r="T89" i="17"/>
  <c r="S89" i="17"/>
  <c r="T88" i="17"/>
  <c r="S88" i="17"/>
  <c r="T87" i="17"/>
  <c r="S87" i="17"/>
  <c r="T86" i="17"/>
  <c r="S86" i="17"/>
  <c r="T85" i="17"/>
  <c r="S85" i="17"/>
  <c r="I22" i="17"/>
  <c r="T81" i="17"/>
  <c r="S81" i="17"/>
  <c r="T80" i="17"/>
  <c r="S80" i="17"/>
  <c r="T79" i="17"/>
  <c r="S79" i="17"/>
  <c r="T78" i="17"/>
  <c r="S78" i="17"/>
  <c r="T77" i="17"/>
  <c r="S77" i="17"/>
  <c r="T72" i="17"/>
  <c r="S72" i="17"/>
  <c r="T71" i="17"/>
  <c r="S71" i="17"/>
  <c r="T70" i="17"/>
  <c r="T73" i="17" s="1"/>
  <c r="S70" i="17"/>
  <c r="T69" i="17"/>
  <c r="S69" i="17"/>
  <c r="T68" i="17"/>
  <c r="G17" i="17" s="1"/>
  <c r="D18" i="17" s="1"/>
  <c r="S68" i="17"/>
  <c r="T64" i="17"/>
  <c r="S64" i="17"/>
  <c r="T63" i="17"/>
  <c r="S63" i="17"/>
  <c r="K17" i="17" s="1"/>
  <c r="T62" i="17"/>
  <c r="S62" i="17"/>
  <c r="T61" i="17"/>
  <c r="S61" i="17"/>
  <c r="T60" i="17"/>
  <c r="S60" i="17"/>
  <c r="S52" i="17"/>
  <c r="T52" i="17"/>
  <c r="S53" i="17"/>
  <c r="T53" i="17"/>
  <c r="S54" i="17"/>
  <c r="T54" i="17"/>
  <c r="S55" i="17"/>
  <c r="T55" i="17"/>
  <c r="T51" i="17"/>
  <c r="S51" i="17"/>
  <c r="T44" i="17"/>
  <c r="T45" i="17"/>
  <c r="T46" i="17"/>
  <c r="T47" i="17"/>
  <c r="T43" i="17"/>
  <c r="F12" i="17" s="1"/>
  <c r="S44" i="17"/>
  <c r="S45" i="17"/>
  <c r="S46" i="17"/>
  <c r="K12" i="17" s="1"/>
  <c r="S47" i="17"/>
  <c r="S43" i="17"/>
  <c r="S73" i="17" l="1"/>
  <c r="D17" i="17" s="1"/>
  <c r="L12" i="17"/>
  <c r="L22" i="17"/>
  <c r="H22" i="17"/>
  <c r="C35" i="17" a="1"/>
  <c r="C35" i="17" s="1"/>
  <c r="G19" i="16" s="1"/>
  <c r="D35" i="17" a="1"/>
  <c r="D35" i="17" s="1"/>
  <c r="G21" i="16" s="1"/>
  <c r="E35" i="17" a="1"/>
  <c r="E35" i="17" s="1"/>
  <c r="G23" i="16" s="1"/>
  <c r="F35" i="17" a="1"/>
  <c r="F35" i="17" s="1"/>
  <c r="G35" i="17" a="1"/>
  <c r="G35" i="17" s="1"/>
  <c r="J12" i="17"/>
  <c r="T56" i="17"/>
  <c r="H17" i="17"/>
  <c r="L17" i="17"/>
  <c r="K22" i="17"/>
  <c r="K7" i="17" s="1"/>
  <c r="G22" i="17"/>
  <c r="J27" i="17"/>
  <c r="T65" i="17"/>
  <c r="F17" i="17"/>
  <c r="T107" i="17"/>
  <c r="G27" i="17"/>
  <c r="T82" i="17"/>
  <c r="F22" i="17"/>
  <c r="D23" i="17" s="1"/>
  <c r="S90" i="17"/>
  <c r="D22" i="17" s="1"/>
  <c r="D32" i="17" a="1"/>
  <c r="D32" i="17" s="1"/>
  <c r="E32" i="17" a="1"/>
  <c r="E32" i="17" s="1"/>
  <c r="C32" i="17" a="1"/>
  <c r="C32" i="17" s="1"/>
  <c r="S65" i="17"/>
  <c r="E17" i="17" s="1"/>
  <c r="J17" i="17"/>
  <c r="I17" i="17"/>
  <c r="T90" i="17"/>
  <c r="S99" i="17"/>
  <c r="E27" i="17" s="1"/>
  <c r="H27" i="17"/>
  <c r="L27" i="17"/>
  <c r="S107" i="17"/>
  <c r="D27" i="17" s="1"/>
  <c r="S82" i="17"/>
  <c r="E22" i="17" s="1"/>
  <c r="J22" i="17"/>
  <c r="G12" i="17"/>
  <c r="D13" i="17" s="1"/>
  <c r="T99" i="17"/>
  <c r="H12" i="17"/>
  <c r="H7" i="17" s="1"/>
  <c r="S56" i="17"/>
  <c r="D12" i="17" s="1"/>
  <c r="K26" i="16"/>
  <c r="K27" i="16"/>
  <c r="K23" i="16"/>
  <c r="K24" i="16"/>
  <c r="K25" i="16"/>
  <c r="K19" i="16"/>
  <c r="K20" i="16"/>
  <c r="K21" i="16"/>
  <c r="K22" i="16"/>
  <c r="K18" i="16"/>
  <c r="C114" i="4"/>
  <c r="L24" i="16" s="1"/>
  <c r="B118" i="4"/>
  <c r="BD7" i="4"/>
  <c r="BD8" i="4"/>
  <c r="BD9" i="4"/>
  <c r="BD10" i="4"/>
  <c r="BD11" i="4"/>
  <c r="BD12" i="4"/>
  <c r="BD13" i="4"/>
  <c r="BD14" i="4"/>
  <c r="BD15" i="4"/>
  <c r="BD16" i="4"/>
  <c r="BD17" i="4"/>
  <c r="BD18" i="4"/>
  <c r="BD19" i="4"/>
  <c r="BD20" i="4"/>
  <c r="BD21" i="4"/>
  <c r="BD22" i="4"/>
  <c r="BD23" i="4"/>
  <c r="BD24" i="4"/>
  <c r="BD25" i="4"/>
  <c r="BD26" i="4"/>
  <c r="BD27" i="4"/>
  <c r="BD28" i="4"/>
  <c r="BD29" i="4"/>
  <c r="BD30" i="4"/>
  <c r="BD31" i="4"/>
  <c r="BD32" i="4"/>
  <c r="BD33" i="4"/>
  <c r="BD34" i="4"/>
  <c r="BD35" i="4"/>
  <c r="BD36" i="4"/>
  <c r="BD37" i="4"/>
  <c r="BD38" i="4"/>
  <c r="BD39" i="4"/>
  <c r="BD40" i="4"/>
  <c r="BD41" i="4"/>
  <c r="BD42" i="4"/>
  <c r="BD43" i="4"/>
  <c r="BD44" i="4"/>
  <c r="BD45" i="4"/>
  <c r="BD46" i="4"/>
  <c r="BD47" i="4"/>
  <c r="BD48" i="4"/>
  <c r="BD49" i="4"/>
  <c r="BD50" i="4"/>
  <c r="BD51" i="4"/>
  <c r="BD52" i="4"/>
  <c r="BD53" i="4"/>
  <c r="BD54" i="4"/>
  <c r="BD55" i="4"/>
  <c r="BD56" i="4"/>
  <c r="BD57" i="4"/>
  <c r="BD58" i="4"/>
  <c r="BD59" i="4"/>
  <c r="BD60" i="4"/>
  <c r="BD61" i="4"/>
  <c r="BD62" i="4"/>
  <c r="BD63" i="4"/>
  <c r="BD64" i="4"/>
  <c r="BD65" i="4"/>
  <c r="BD66" i="4"/>
  <c r="BD67" i="4"/>
  <c r="BD68" i="4"/>
  <c r="BD69" i="4"/>
  <c r="BD70" i="4"/>
  <c r="BD71" i="4"/>
  <c r="BD72" i="4"/>
  <c r="BD73" i="4"/>
  <c r="BD74" i="4"/>
  <c r="BD75" i="4"/>
  <c r="BD76" i="4"/>
  <c r="BD77" i="4"/>
  <c r="BD78" i="4"/>
  <c r="BD79" i="4"/>
  <c r="BD82" i="4"/>
  <c r="BD83" i="4"/>
  <c r="BD84" i="4"/>
  <c r="BD85" i="4"/>
  <c r="BD86" i="4"/>
  <c r="BD87" i="4"/>
  <c r="BD88" i="4"/>
  <c r="BD89" i="4"/>
  <c r="BD90" i="4"/>
  <c r="BD91" i="4"/>
  <c r="BD92" i="4"/>
  <c r="BD93" i="4"/>
  <c r="BD94" i="4"/>
  <c r="BD95" i="4"/>
  <c r="BD96" i="4"/>
  <c r="BD97" i="4"/>
  <c r="BD98" i="4"/>
  <c r="BD99" i="4"/>
  <c r="BD100" i="4"/>
  <c r="BD101" i="4"/>
  <c r="BD102" i="4"/>
  <c r="BD103" i="4"/>
  <c r="BD104" i="4"/>
  <c r="BD6" i="4"/>
  <c r="BD5" i="4"/>
  <c r="C109" i="4"/>
  <c r="L19" i="16" s="1"/>
  <c r="C110" i="4"/>
  <c r="L20" i="16" s="1"/>
  <c r="C111" i="4"/>
  <c r="C112" i="4"/>
  <c r="L22" i="16" s="1"/>
  <c r="C113" i="4"/>
  <c r="L23" i="16" s="1"/>
  <c r="C115" i="4"/>
  <c r="L25" i="16" s="1"/>
  <c r="C116" i="4"/>
  <c r="C117" i="4"/>
  <c r="L27" i="16" s="1"/>
  <c r="L7" i="17" l="1"/>
  <c r="J7" i="17"/>
  <c r="BE5" i="4"/>
  <c r="P20" i="16"/>
  <c r="L21" i="16"/>
  <c r="P22" i="16"/>
  <c r="L26" i="16"/>
  <c r="G25" i="16"/>
  <c r="BC48" i="18"/>
  <c r="BB48" i="18"/>
  <c r="BA48" i="18"/>
  <c r="AZ48" i="18"/>
  <c r="AY48" i="18"/>
  <c r="AX48" i="18"/>
  <c r="AW48" i="18"/>
  <c r="AV48" i="18"/>
  <c r="AU48" i="18"/>
  <c r="AT48" i="18"/>
  <c r="AS48" i="18"/>
  <c r="AR48" i="18"/>
  <c r="AQ48" i="18"/>
  <c r="AP48" i="18"/>
  <c r="AO48" i="18"/>
  <c r="AN48" i="18"/>
  <c r="AM48" i="18"/>
  <c r="AL48" i="18"/>
  <c r="AK48" i="18"/>
  <c r="AJ48" i="18"/>
  <c r="AI48" i="18"/>
  <c r="AH48" i="18"/>
  <c r="AG48" i="18"/>
  <c r="AF48" i="18"/>
  <c r="AE48" i="18"/>
  <c r="AD48" i="18"/>
  <c r="AC48" i="18"/>
  <c r="AB48" i="18"/>
  <c r="AA48" i="18"/>
  <c r="Z48" i="18"/>
  <c r="Y48" i="18"/>
  <c r="X48" i="18"/>
  <c r="W48" i="18"/>
  <c r="V48" i="18"/>
  <c r="U48" i="18"/>
  <c r="T48" i="18"/>
  <c r="S48" i="18"/>
  <c r="R48" i="18"/>
  <c r="Q48" i="18"/>
  <c r="P48" i="18"/>
  <c r="O48" i="18"/>
  <c r="N48" i="18"/>
  <c r="M48" i="18"/>
  <c r="L48" i="18"/>
  <c r="K48" i="18"/>
  <c r="J48" i="18"/>
  <c r="I48" i="18"/>
  <c r="H48" i="18"/>
  <c r="F47" i="18" s="1"/>
  <c r="BC47" i="18"/>
  <c r="BB47" i="18"/>
  <c r="BA47" i="18"/>
  <c r="AZ47" i="18"/>
  <c r="AY47" i="18"/>
  <c r="AX47" i="18"/>
  <c r="AW47" i="18"/>
  <c r="AV47" i="18"/>
  <c r="AU47" i="18"/>
  <c r="AT47" i="18"/>
  <c r="AS47" i="18"/>
  <c r="AR47" i="18"/>
  <c r="AQ47" i="18"/>
  <c r="AP47" i="18"/>
  <c r="AO47" i="18"/>
  <c r="AN47" i="18"/>
  <c r="AM47" i="18"/>
  <c r="AL47" i="18"/>
  <c r="AK47" i="18"/>
  <c r="AJ47" i="18"/>
  <c r="AI47" i="18"/>
  <c r="AH47" i="18"/>
  <c r="AG47" i="18"/>
  <c r="AF47" i="18"/>
  <c r="AE47" i="18"/>
  <c r="AD47" i="18"/>
  <c r="AC47" i="18"/>
  <c r="AB47" i="18"/>
  <c r="AA47" i="18"/>
  <c r="Z47" i="18"/>
  <c r="Y47" i="18"/>
  <c r="X47" i="18"/>
  <c r="W47" i="18"/>
  <c r="V47" i="18"/>
  <c r="U47" i="18"/>
  <c r="T47" i="18"/>
  <c r="S47" i="18"/>
  <c r="R47" i="18"/>
  <c r="Q47" i="18"/>
  <c r="P47" i="18"/>
  <c r="O47" i="18"/>
  <c r="N47" i="18"/>
  <c r="M47" i="18"/>
  <c r="L47" i="18"/>
  <c r="K47" i="18"/>
  <c r="J47" i="18"/>
  <c r="I47" i="18"/>
  <c r="H47" i="18"/>
  <c r="C108" i="4" l="1"/>
  <c r="P18" i="16" l="1"/>
  <c r="L18" i="16"/>
  <c r="C118" i="4"/>
  <c r="L3" i="16" s="1"/>
  <c r="K6" i="18"/>
  <c r="J6" i="18"/>
  <c r="I6" i="18"/>
  <c r="H6" i="18"/>
  <c r="K5" i="18"/>
  <c r="J5" i="18"/>
  <c r="I5" i="18"/>
  <c r="H5" i="18"/>
  <c r="V21" i="1" l="1"/>
  <c r="W21" i="1"/>
  <c r="X21" i="1"/>
  <c r="U21" i="1"/>
  <c r="U24" i="1"/>
  <c r="T21" i="1" l="1"/>
  <c r="Y21" i="1" s="1"/>
  <c r="J5" i="1" l="1"/>
  <c r="J6" i="1"/>
  <c r="J13" i="1"/>
  <c r="J14" i="1"/>
  <c r="J16" i="1"/>
  <c r="J21" i="1"/>
  <c r="J22" i="1"/>
  <c r="J23" i="1"/>
  <c r="W7" i="1" l="1"/>
  <c r="P5" i="1" l="1"/>
  <c r="W16" i="1"/>
  <c r="W3" i="1"/>
  <c r="R5" i="1" l="1"/>
  <c r="W5" i="1" s="1"/>
  <c r="G7" i="17"/>
  <c r="G8" i="17" s="1"/>
  <c r="U5" i="1"/>
  <c r="H3" i="18" l="1"/>
  <c r="T13" i="18" l="1"/>
  <c r="T14" i="18"/>
  <c r="I61" i="18"/>
  <c r="J61" i="18"/>
  <c r="K61" i="18"/>
  <c r="L61" i="18"/>
  <c r="M61" i="18"/>
  <c r="N61" i="18"/>
  <c r="O61" i="18"/>
  <c r="P61" i="18"/>
  <c r="Q61" i="18"/>
  <c r="R61" i="18"/>
  <c r="S61" i="18"/>
  <c r="T61" i="18"/>
  <c r="U61" i="18"/>
  <c r="V61" i="18"/>
  <c r="W61" i="18"/>
  <c r="X61" i="18"/>
  <c r="Y61" i="18"/>
  <c r="Z61" i="18"/>
  <c r="AA61" i="18"/>
  <c r="AB61" i="18"/>
  <c r="AC61" i="18"/>
  <c r="AD61" i="18"/>
  <c r="AE61" i="18"/>
  <c r="AF61" i="18"/>
  <c r="AG61" i="18"/>
  <c r="AH61" i="18"/>
  <c r="AI61" i="18"/>
  <c r="AJ61" i="18"/>
  <c r="AK61" i="18"/>
  <c r="AL61" i="18"/>
  <c r="AM61" i="18"/>
  <c r="AN61" i="18"/>
  <c r="AO61" i="18"/>
  <c r="AP61" i="18"/>
  <c r="AQ61" i="18"/>
  <c r="AR61" i="18"/>
  <c r="AS61" i="18"/>
  <c r="AT61" i="18"/>
  <c r="AU61" i="18"/>
  <c r="AV61" i="18"/>
  <c r="AW61" i="18"/>
  <c r="AX61" i="18"/>
  <c r="AY61" i="18"/>
  <c r="AZ61" i="18"/>
  <c r="BA61" i="18"/>
  <c r="BB61" i="18"/>
  <c r="BC61" i="18"/>
  <c r="I62" i="18"/>
  <c r="J62" i="18"/>
  <c r="K62" i="18"/>
  <c r="L62" i="18"/>
  <c r="M62" i="18"/>
  <c r="N62" i="18"/>
  <c r="O62" i="18"/>
  <c r="P62" i="18"/>
  <c r="Q62" i="18"/>
  <c r="R62" i="18"/>
  <c r="S62" i="18"/>
  <c r="T62" i="18"/>
  <c r="U62" i="18"/>
  <c r="V62" i="18"/>
  <c r="W62" i="18"/>
  <c r="X62" i="18"/>
  <c r="Y62" i="18"/>
  <c r="Z62" i="18"/>
  <c r="AA62" i="18"/>
  <c r="AB62" i="18"/>
  <c r="AC62" i="18"/>
  <c r="AD62" i="18"/>
  <c r="AE62" i="18"/>
  <c r="AF62" i="18"/>
  <c r="AG62" i="18"/>
  <c r="AH62" i="18"/>
  <c r="AI62" i="18"/>
  <c r="AJ62" i="18"/>
  <c r="AK62" i="18"/>
  <c r="AL62" i="18"/>
  <c r="AM62" i="18"/>
  <c r="AN62" i="18"/>
  <c r="AO62" i="18"/>
  <c r="AP62" i="18"/>
  <c r="AQ62" i="18"/>
  <c r="AR62" i="18"/>
  <c r="AS62" i="18"/>
  <c r="AT62" i="18"/>
  <c r="AU62" i="18"/>
  <c r="AV62" i="18"/>
  <c r="AW62" i="18"/>
  <c r="AX62" i="18"/>
  <c r="AY62" i="18"/>
  <c r="AZ62" i="18"/>
  <c r="BA62" i="18"/>
  <c r="BB62" i="18"/>
  <c r="BC62" i="18"/>
  <c r="H62" i="18"/>
  <c r="H61" i="18"/>
  <c r="B76" i="18"/>
  <c r="B75" i="18"/>
  <c r="B74" i="18"/>
  <c r="B73" i="18"/>
  <c r="B72" i="18"/>
  <c r="B71" i="18"/>
  <c r="F65" i="18"/>
  <c r="F63" i="18"/>
  <c r="F59" i="18"/>
  <c r="F57" i="18"/>
  <c r="F55" i="18"/>
  <c r="F53" i="18"/>
  <c r="F51" i="18"/>
  <c r="BC50" i="18"/>
  <c r="BB50" i="18"/>
  <c r="BA50" i="18"/>
  <c r="AZ50" i="18"/>
  <c r="AY50" i="18"/>
  <c r="AX50" i="18"/>
  <c r="AW50" i="18"/>
  <c r="AV50" i="18"/>
  <c r="AU50" i="18"/>
  <c r="AT50" i="18"/>
  <c r="AS50" i="18"/>
  <c r="AR50" i="18"/>
  <c r="AQ50" i="18"/>
  <c r="AP50" i="18"/>
  <c r="AO50" i="18"/>
  <c r="AN50" i="18"/>
  <c r="AM50" i="18"/>
  <c r="AL50" i="18"/>
  <c r="AK50" i="18"/>
  <c r="AJ50" i="18"/>
  <c r="AI50" i="18"/>
  <c r="AH50" i="18"/>
  <c r="AG50" i="18"/>
  <c r="AF50" i="18"/>
  <c r="AE50" i="18"/>
  <c r="AD50" i="18"/>
  <c r="AC50" i="18"/>
  <c r="AB50" i="18"/>
  <c r="AA50" i="18"/>
  <c r="Z50" i="18"/>
  <c r="Y50" i="18"/>
  <c r="X50" i="18"/>
  <c r="W50" i="18"/>
  <c r="V50" i="18"/>
  <c r="U50" i="18"/>
  <c r="T50" i="18"/>
  <c r="S50" i="18"/>
  <c r="R50" i="18"/>
  <c r="Q50" i="18"/>
  <c r="P50" i="18"/>
  <c r="O50" i="18"/>
  <c r="N50" i="18"/>
  <c r="M50" i="18"/>
  <c r="L50" i="18"/>
  <c r="K50" i="18"/>
  <c r="J50" i="18"/>
  <c r="I50" i="18"/>
  <c r="H50" i="18"/>
  <c r="BC49" i="18"/>
  <c r="BB49" i="18"/>
  <c r="BA49" i="18"/>
  <c r="AZ49" i="18"/>
  <c r="AY49" i="18"/>
  <c r="AX49" i="18"/>
  <c r="AW49" i="18"/>
  <c r="AV49" i="18"/>
  <c r="AU49" i="18"/>
  <c r="AT49" i="18"/>
  <c r="AS49" i="18"/>
  <c r="AR49" i="18"/>
  <c r="AQ49" i="18"/>
  <c r="AP49" i="18"/>
  <c r="AO49" i="18"/>
  <c r="AN49" i="18"/>
  <c r="AM49" i="18"/>
  <c r="AL49" i="18"/>
  <c r="AK49" i="18"/>
  <c r="AJ49" i="18"/>
  <c r="AI49" i="18"/>
  <c r="AH49" i="18"/>
  <c r="AG49" i="18"/>
  <c r="AF49" i="18"/>
  <c r="AE49" i="18"/>
  <c r="AD49" i="18"/>
  <c r="AC49" i="18"/>
  <c r="AB49" i="18"/>
  <c r="AA49" i="18"/>
  <c r="Z49" i="18"/>
  <c r="Y49" i="18"/>
  <c r="X49" i="18"/>
  <c r="W49" i="18"/>
  <c r="V49" i="18"/>
  <c r="U49" i="18"/>
  <c r="T49" i="18"/>
  <c r="S49" i="18"/>
  <c r="R49" i="18"/>
  <c r="Q49" i="18"/>
  <c r="P49" i="18"/>
  <c r="O49" i="18"/>
  <c r="N49" i="18"/>
  <c r="M49" i="18"/>
  <c r="L49" i="18"/>
  <c r="K49" i="18"/>
  <c r="J49" i="18"/>
  <c r="I49" i="18"/>
  <c r="H49" i="18"/>
  <c r="F45" i="18"/>
  <c r="F43" i="18"/>
  <c r="F41" i="18"/>
  <c r="F39" i="18"/>
  <c r="BC38" i="18"/>
  <c r="BB38" i="18"/>
  <c r="BA38" i="18"/>
  <c r="AZ38" i="18"/>
  <c r="AY38" i="18"/>
  <c r="AX38" i="18"/>
  <c r="AW38" i="18"/>
  <c r="AV38" i="18"/>
  <c r="AU38" i="18"/>
  <c r="AT38" i="18"/>
  <c r="AS38" i="18"/>
  <c r="AR38" i="18"/>
  <c r="AQ38" i="18"/>
  <c r="AP38" i="18"/>
  <c r="AO38" i="18"/>
  <c r="AN38" i="18"/>
  <c r="AM38" i="18"/>
  <c r="AL38" i="18"/>
  <c r="AK38" i="18"/>
  <c r="AJ38" i="18"/>
  <c r="AI38" i="18"/>
  <c r="AH38" i="18"/>
  <c r="AG38" i="18"/>
  <c r="AF38" i="18"/>
  <c r="AE38" i="18"/>
  <c r="AD38" i="18"/>
  <c r="AC38" i="18"/>
  <c r="AB38" i="18"/>
  <c r="AA38" i="18"/>
  <c r="Z38" i="18"/>
  <c r="Y38" i="18"/>
  <c r="X38" i="18"/>
  <c r="W38" i="18"/>
  <c r="V38" i="18"/>
  <c r="U38" i="18"/>
  <c r="T38" i="18"/>
  <c r="S38" i="18"/>
  <c r="R38" i="18"/>
  <c r="Q38" i="18"/>
  <c r="P38" i="18"/>
  <c r="O38" i="18"/>
  <c r="N38" i="18"/>
  <c r="M38" i="18"/>
  <c r="L38" i="18"/>
  <c r="K38" i="18"/>
  <c r="J38" i="18"/>
  <c r="I38" i="18"/>
  <c r="H38" i="18"/>
  <c r="BC37" i="18"/>
  <c r="BB37" i="18"/>
  <c r="BA37" i="18"/>
  <c r="AZ37" i="18"/>
  <c r="AY37" i="18"/>
  <c r="AX37" i="18"/>
  <c r="AW37" i="18"/>
  <c r="AV37" i="18"/>
  <c r="AU37" i="18"/>
  <c r="AT37" i="18"/>
  <c r="AS37" i="18"/>
  <c r="AR37" i="18"/>
  <c r="AQ37" i="18"/>
  <c r="AP37" i="18"/>
  <c r="AO37" i="18"/>
  <c r="AN37" i="18"/>
  <c r="AM37" i="18"/>
  <c r="AL37" i="18"/>
  <c r="AK37" i="18"/>
  <c r="AJ37" i="18"/>
  <c r="AI37" i="18"/>
  <c r="AH37" i="18"/>
  <c r="AG37" i="18"/>
  <c r="AF37" i="18"/>
  <c r="AE37" i="18"/>
  <c r="AD37" i="18"/>
  <c r="AC37" i="18"/>
  <c r="AB37" i="18"/>
  <c r="AA37" i="18"/>
  <c r="Z37" i="18"/>
  <c r="Y37" i="18"/>
  <c r="X37" i="18"/>
  <c r="W37" i="18"/>
  <c r="V37" i="18"/>
  <c r="U37" i="18"/>
  <c r="T37" i="18"/>
  <c r="S37" i="18"/>
  <c r="R37" i="18"/>
  <c r="Q37" i="18"/>
  <c r="P37" i="18"/>
  <c r="O37" i="18"/>
  <c r="N37" i="18"/>
  <c r="M37" i="18"/>
  <c r="L37" i="18"/>
  <c r="K37" i="18"/>
  <c r="J37" i="18"/>
  <c r="I37" i="18"/>
  <c r="H37" i="18"/>
  <c r="F35" i="18"/>
  <c r="F33" i="18"/>
  <c r="F31" i="18"/>
  <c r="F29" i="18"/>
  <c r="F27" i="18"/>
  <c r="BC26" i="18"/>
  <c r="BB26" i="18"/>
  <c r="BA26" i="18"/>
  <c r="AZ26" i="18"/>
  <c r="AY26" i="18"/>
  <c r="AX26" i="18"/>
  <c r="AW26" i="18"/>
  <c r="AV26" i="18"/>
  <c r="AU26" i="18"/>
  <c r="AT26" i="18"/>
  <c r="AS26" i="18"/>
  <c r="AR26" i="18"/>
  <c r="AQ26" i="18"/>
  <c r="AP26" i="18"/>
  <c r="AO26" i="18"/>
  <c r="AN26" i="18"/>
  <c r="AM26" i="18"/>
  <c r="AL26" i="18"/>
  <c r="AK26" i="18"/>
  <c r="AJ26" i="18"/>
  <c r="AI26" i="18"/>
  <c r="AH26" i="18"/>
  <c r="AG26" i="18"/>
  <c r="AF26" i="18"/>
  <c r="AE26" i="18"/>
  <c r="AD26" i="18"/>
  <c r="AB26" i="18"/>
  <c r="AA26" i="18"/>
  <c r="Z26" i="18"/>
  <c r="Y26" i="18"/>
  <c r="X26" i="18"/>
  <c r="W26" i="18"/>
  <c r="V26" i="18"/>
  <c r="U26" i="18"/>
  <c r="S26" i="18"/>
  <c r="R26" i="18"/>
  <c r="Q26" i="18"/>
  <c r="P26" i="18"/>
  <c r="O26" i="18"/>
  <c r="N26" i="18"/>
  <c r="M26" i="18"/>
  <c r="L26" i="18"/>
  <c r="K26" i="18"/>
  <c r="J26" i="18"/>
  <c r="I26" i="18"/>
  <c r="H26" i="18"/>
  <c r="BC25" i="18"/>
  <c r="BB25" i="18"/>
  <c r="BA25" i="18"/>
  <c r="AZ25" i="18"/>
  <c r="AY25" i="18"/>
  <c r="AX25" i="18"/>
  <c r="AW25" i="18"/>
  <c r="AV25" i="18"/>
  <c r="AU25" i="18"/>
  <c r="AT25" i="18"/>
  <c r="AS25" i="18"/>
  <c r="AR25" i="18"/>
  <c r="AQ25" i="18"/>
  <c r="AP25" i="18"/>
  <c r="AO25" i="18"/>
  <c r="AN25" i="18"/>
  <c r="AM25" i="18"/>
  <c r="AL25" i="18"/>
  <c r="AK25" i="18"/>
  <c r="AJ25" i="18"/>
  <c r="AI25" i="18"/>
  <c r="AH25" i="18"/>
  <c r="AG25" i="18"/>
  <c r="AF25" i="18"/>
  <c r="AE25" i="18"/>
  <c r="AD25" i="18"/>
  <c r="AB25" i="18"/>
  <c r="AA25" i="18"/>
  <c r="Z25" i="18"/>
  <c r="Y25" i="18"/>
  <c r="X25" i="18"/>
  <c r="W25" i="18"/>
  <c r="V25" i="18"/>
  <c r="U25" i="18"/>
  <c r="S25" i="18"/>
  <c r="R25" i="18"/>
  <c r="Q25" i="18"/>
  <c r="P25" i="18"/>
  <c r="O25" i="18"/>
  <c r="N25" i="18"/>
  <c r="M25" i="18"/>
  <c r="L25" i="18"/>
  <c r="K25" i="18"/>
  <c r="J25" i="18"/>
  <c r="I25" i="18"/>
  <c r="F23" i="18"/>
  <c r="F21" i="18"/>
  <c r="F19" i="18"/>
  <c r="F17" i="18"/>
  <c r="F15" i="18"/>
  <c r="BC14" i="18"/>
  <c r="BB14" i="18"/>
  <c r="BA14" i="18"/>
  <c r="AZ14" i="18"/>
  <c r="AY14" i="18"/>
  <c r="AX14" i="18"/>
  <c r="AW14" i="18"/>
  <c r="AV14" i="18"/>
  <c r="AU14" i="18"/>
  <c r="AT14" i="18"/>
  <c r="AS14" i="18"/>
  <c r="AR14" i="18"/>
  <c r="AQ14" i="18"/>
  <c r="AP14" i="18"/>
  <c r="AO14" i="18"/>
  <c r="AN14" i="18"/>
  <c r="AM14" i="18"/>
  <c r="AL14" i="18"/>
  <c r="AK14" i="18"/>
  <c r="AJ14" i="18"/>
  <c r="AI14" i="18"/>
  <c r="AH14" i="18"/>
  <c r="AG14" i="18"/>
  <c r="AF14" i="18"/>
  <c r="AE14" i="18"/>
  <c r="AB14" i="18"/>
  <c r="AA14" i="18"/>
  <c r="Z14" i="18"/>
  <c r="Y14" i="18"/>
  <c r="X14" i="18"/>
  <c r="W14" i="18"/>
  <c r="V14" i="18"/>
  <c r="U14" i="18"/>
  <c r="S14" i="18"/>
  <c r="R14" i="18"/>
  <c r="Q14" i="18"/>
  <c r="P14" i="18"/>
  <c r="O14" i="18"/>
  <c r="N14" i="18"/>
  <c r="M14" i="18"/>
  <c r="L14" i="18"/>
  <c r="K14" i="18"/>
  <c r="J14" i="18"/>
  <c r="I14" i="18"/>
  <c r="H14" i="18"/>
  <c r="BC13" i="18"/>
  <c r="BB13" i="18"/>
  <c r="BA13" i="18"/>
  <c r="AZ13" i="18"/>
  <c r="AY13" i="18"/>
  <c r="AX13" i="18"/>
  <c r="AW13" i="18"/>
  <c r="AV13" i="18"/>
  <c r="AU13" i="18"/>
  <c r="AT13" i="18"/>
  <c r="AS13" i="18"/>
  <c r="AR13" i="18"/>
  <c r="AQ13" i="18"/>
  <c r="AP13" i="18"/>
  <c r="AO13" i="18"/>
  <c r="AN13" i="18"/>
  <c r="AM13" i="18"/>
  <c r="AL13" i="18"/>
  <c r="AK13" i="18"/>
  <c r="AJ13" i="18"/>
  <c r="AI13" i="18"/>
  <c r="AH13" i="18"/>
  <c r="AG13" i="18"/>
  <c r="AF13" i="18"/>
  <c r="AE13" i="18"/>
  <c r="AB13" i="18"/>
  <c r="AA13" i="18"/>
  <c r="Z13" i="18"/>
  <c r="Y13" i="18"/>
  <c r="X13" i="18"/>
  <c r="W13" i="18"/>
  <c r="V13" i="18"/>
  <c r="U13" i="18"/>
  <c r="S13" i="18"/>
  <c r="R13" i="18"/>
  <c r="Q13" i="18"/>
  <c r="P13" i="18"/>
  <c r="O13" i="18"/>
  <c r="N13" i="18"/>
  <c r="M13" i="18"/>
  <c r="L13" i="18"/>
  <c r="K13" i="18"/>
  <c r="J13" i="18"/>
  <c r="I13" i="18"/>
  <c r="F11" i="18"/>
  <c r="F9" i="18"/>
  <c r="F7" i="18"/>
  <c r="BC6" i="18"/>
  <c r="BB6" i="18"/>
  <c r="BB4" i="18" s="1"/>
  <c r="BA6" i="18"/>
  <c r="BA4" i="18" s="1"/>
  <c r="AZ6" i="18"/>
  <c r="AZ4" i="18" s="1"/>
  <c r="AY6" i="18"/>
  <c r="AY4" i="18" s="1"/>
  <c r="AX6" i="18"/>
  <c r="AX4" i="18" s="1"/>
  <c r="AW6" i="18"/>
  <c r="AV6" i="18"/>
  <c r="AV4" i="18" s="1"/>
  <c r="AU6" i="18"/>
  <c r="AU4" i="18" s="1"/>
  <c r="AT6" i="18"/>
  <c r="AT4" i="18" s="1"/>
  <c r="AS6" i="18"/>
  <c r="AS4" i="18" s="1"/>
  <c r="AR6" i="18"/>
  <c r="AR4" i="18" s="1"/>
  <c r="AQ6" i="18"/>
  <c r="AQ4" i="18" s="1"/>
  <c r="AP6" i="18"/>
  <c r="AP4" i="18" s="1"/>
  <c r="AO6" i="18"/>
  <c r="AN6" i="18"/>
  <c r="AN4" i="18" s="1"/>
  <c r="AM6" i="18"/>
  <c r="AM4" i="18" s="1"/>
  <c r="AL6" i="18"/>
  <c r="AL4" i="18" s="1"/>
  <c r="AK6" i="18"/>
  <c r="AK4" i="18" s="1"/>
  <c r="AJ6" i="18"/>
  <c r="AJ4" i="18" s="1"/>
  <c r="AI6" i="18"/>
  <c r="AI4" i="18" s="1"/>
  <c r="AH6" i="18"/>
  <c r="AH4" i="18" s="1"/>
  <c r="AG6" i="18"/>
  <c r="AG4" i="18" s="1"/>
  <c r="AF6" i="18"/>
  <c r="AF4" i="18" s="1"/>
  <c r="AE6" i="18"/>
  <c r="AE4" i="18" s="1"/>
  <c r="AD6" i="18"/>
  <c r="AD4" i="18" s="1"/>
  <c r="AC6" i="18"/>
  <c r="AC4" i="18" s="1"/>
  <c r="AB6" i="18"/>
  <c r="AB4" i="18" s="1"/>
  <c r="AA6" i="18"/>
  <c r="AA4" i="18" s="1"/>
  <c r="Z6" i="18"/>
  <c r="Z4" i="18" s="1"/>
  <c r="Y6" i="18"/>
  <c r="Y4" i="18" s="1"/>
  <c r="X6" i="18"/>
  <c r="X4" i="18" s="1"/>
  <c r="W6" i="18"/>
  <c r="W4" i="18" s="1"/>
  <c r="V6" i="18"/>
  <c r="V4" i="18" s="1"/>
  <c r="U6" i="18"/>
  <c r="U4" i="18" s="1"/>
  <c r="T6" i="18"/>
  <c r="S6" i="18"/>
  <c r="S4" i="18" s="1"/>
  <c r="R6" i="18"/>
  <c r="R4" i="18" s="1"/>
  <c r="Q6" i="18"/>
  <c r="Q4" i="18" s="1"/>
  <c r="P6" i="18"/>
  <c r="P4" i="18" s="1"/>
  <c r="O6" i="18"/>
  <c r="O4" i="18" s="1"/>
  <c r="N6" i="18"/>
  <c r="N4" i="18" s="1"/>
  <c r="M6" i="18"/>
  <c r="M4" i="18" s="1"/>
  <c r="L6" i="18"/>
  <c r="L4" i="18" s="1"/>
  <c r="K4" i="18"/>
  <c r="J4" i="18"/>
  <c r="I4" i="18"/>
  <c r="BC5" i="18"/>
  <c r="BC3" i="18" s="1"/>
  <c r="BB5" i="18"/>
  <c r="BB3" i="18" s="1"/>
  <c r="BA5" i="18"/>
  <c r="BA3" i="18" s="1"/>
  <c r="AZ5" i="18"/>
  <c r="AZ3" i="18" s="1"/>
  <c r="AY5" i="18"/>
  <c r="AY3" i="18" s="1"/>
  <c r="AX5" i="18"/>
  <c r="AX3" i="18" s="1"/>
  <c r="AW5" i="18"/>
  <c r="AV5" i="18"/>
  <c r="AV3" i="18" s="1"/>
  <c r="AU5" i="18"/>
  <c r="AU3" i="18" s="1"/>
  <c r="AT5" i="18"/>
  <c r="AT3" i="18" s="1"/>
  <c r="AS5" i="18"/>
  <c r="AS3" i="18" s="1"/>
  <c r="AR5" i="18"/>
  <c r="AR3" i="18" s="1"/>
  <c r="AQ5" i="18"/>
  <c r="AQ3" i="18" s="1"/>
  <c r="AP5" i="18"/>
  <c r="AP3" i="18" s="1"/>
  <c r="AO5" i="18"/>
  <c r="AN5" i="18"/>
  <c r="AN3" i="18" s="1"/>
  <c r="AM5" i="18"/>
  <c r="AL5" i="18"/>
  <c r="AL3" i="18" s="1"/>
  <c r="AK5" i="18"/>
  <c r="AK3" i="18" s="1"/>
  <c r="AJ5" i="18"/>
  <c r="AJ3" i="18" s="1"/>
  <c r="AI5" i="18"/>
  <c r="AI3" i="18" s="1"/>
  <c r="AH5" i="18"/>
  <c r="AH3" i="18" s="1"/>
  <c r="AG5" i="18"/>
  <c r="AF5" i="18"/>
  <c r="AF3" i="18" s="1"/>
  <c r="AE5" i="18"/>
  <c r="AE3" i="18" s="1"/>
  <c r="AD5" i="18"/>
  <c r="AD3" i="18" s="1"/>
  <c r="AC5" i="18"/>
  <c r="AC3" i="18" s="1"/>
  <c r="AB5" i="18"/>
  <c r="AB3" i="18" s="1"/>
  <c r="AA5" i="18"/>
  <c r="AA3" i="18" s="1"/>
  <c r="Z5" i="18"/>
  <c r="Z3" i="18" s="1"/>
  <c r="Y5" i="18"/>
  <c r="Y3" i="18" s="1"/>
  <c r="X5" i="18"/>
  <c r="X3" i="18" s="1"/>
  <c r="W5" i="18"/>
  <c r="W3" i="18" s="1"/>
  <c r="V5" i="18"/>
  <c r="V3" i="18" s="1"/>
  <c r="U5" i="18"/>
  <c r="U3" i="18" s="1"/>
  <c r="T5" i="18"/>
  <c r="S5" i="18"/>
  <c r="S3" i="18" s="1"/>
  <c r="R5" i="18"/>
  <c r="R3" i="18" s="1"/>
  <c r="Q5" i="18"/>
  <c r="Q3" i="18" s="1"/>
  <c r="P5" i="18"/>
  <c r="P3" i="18" s="1"/>
  <c r="O5" i="18"/>
  <c r="O3" i="18" s="1"/>
  <c r="N5" i="18"/>
  <c r="N3" i="18" s="1"/>
  <c r="M5" i="18"/>
  <c r="M3" i="18" s="1"/>
  <c r="L5" i="18"/>
  <c r="L3" i="18" s="1"/>
  <c r="K3" i="18"/>
  <c r="J3" i="18"/>
  <c r="I3" i="18"/>
  <c r="BC4" i="18"/>
  <c r="AW4" i="18"/>
  <c r="AO4" i="18"/>
  <c r="AW3" i="18"/>
  <c r="AO3" i="18"/>
  <c r="AM3" i="18"/>
  <c r="AG3" i="18"/>
  <c r="L4" i="16"/>
  <c r="A5" i="16"/>
  <c r="L2" i="16" s="1"/>
  <c r="M2" i="16" s="1"/>
  <c r="M4" i="16"/>
  <c r="I12" i="17" l="1"/>
  <c r="I7" i="17" s="1"/>
  <c r="F61" i="18"/>
  <c r="D76" i="18" s="1"/>
  <c r="F37" i="18"/>
  <c r="D74" i="18" s="1"/>
  <c r="F5" i="18"/>
  <c r="D71" i="18" s="1"/>
  <c r="F49" i="18"/>
  <c r="D75" i="18" s="1"/>
  <c r="F13" i="18"/>
  <c r="D72" i="18" s="1"/>
  <c r="F25" i="18"/>
  <c r="D73" i="18" s="1"/>
  <c r="H4" i="18"/>
  <c r="F3" i="18" l="1"/>
  <c r="D77" i="18"/>
  <c r="M3" i="16" l="1"/>
  <c r="X7" i="1" l="1"/>
  <c r="X16" i="1"/>
  <c r="X3" i="1"/>
  <c r="S5" i="1" l="1"/>
  <c r="X5" i="1" s="1"/>
  <c r="S48" i="17"/>
  <c r="F7" i="17" l="1"/>
  <c r="C25" i="16" l="1"/>
  <c r="T48" i="17" l="1"/>
  <c r="E12" i="17" l="1"/>
  <c r="E7" i="17" s="1"/>
  <c r="C22" i="16" s="1"/>
  <c r="D7" i="17"/>
  <c r="C4" i="17" l="1"/>
  <c r="D8" i="17" s="1"/>
  <c r="V16" i="1"/>
  <c r="U3" i="1"/>
  <c r="V3" i="1"/>
  <c r="V7" i="1"/>
  <c r="C19" i="16"/>
  <c r="Q5" i="1" l="1"/>
  <c r="T16" i="1"/>
  <c r="Y16" i="1" s="1"/>
  <c r="T7" i="1"/>
  <c r="Y7" i="1" s="1"/>
  <c r="U7" i="1"/>
  <c r="U16" i="1"/>
  <c r="T3" i="1"/>
  <c r="Y3" i="1" s="1"/>
  <c r="V5" i="1" l="1"/>
  <c r="T5" i="1"/>
  <c r="Y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tc={6B3EA6FD-88C6-4EE5-A379-E030D2F3E098}</author>
  </authors>
  <commentList>
    <comment ref="G19" authorId="0" shapeId="0" xr:uid="{6B3EA6FD-88C6-4EE5-A379-E030D2F3E098}">
      <text>
        <t>[Threaded comment]
Your version of Excel allows you to read this threaded comment; however, any edits to it will get removed if the file is opened in a newer version of Excel. Learn more: https://go.microsoft.com/fwlink/?linkid=870924
Comment:
    revise Macro checkbox</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jit</author>
  </authors>
  <commentList>
    <comment ref="C7" authorId="0" shapeId="0" xr:uid="{46B7A758-620E-4A09-8A9C-A7958066EC55}">
      <text>
        <r>
          <rPr>
            <b/>
            <sz val="9"/>
            <color indexed="81"/>
            <rFont val="Tahoma"/>
            <family val="2"/>
          </rPr>
          <t xml:space="preserve">sara:
</t>
        </r>
        <r>
          <rPr>
            <b/>
            <sz val="12"/>
            <color indexed="81"/>
            <rFont val="Tahoma"/>
            <family val="2"/>
          </rPr>
          <t>75 طفل مستمرين خلال الأشهر وحتى سبتمبر 2020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jit</author>
  </authors>
  <commentList>
    <comment ref="B5" authorId="0" shapeId="0" xr:uid="{A8D47C7F-1E96-4AF9-9CC7-130A573B51D1}">
      <text>
        <r>
          <rPr>
            <b/>
            <sz val="9"/>
            <color indexed="81"/>
            <rFont val="Tahoma"/>
            <family val="2"/>
          </rPr>
          <t>jit:</t>
        </r>
        <r>
          <rPr>
            <sz val="9"/>
            <color indexed="81"/>
            <rFont val="Tahoma"/>
            <family val="2"/>
          </rPr>
          <t xml:space="preserve">
need clarification</t>
        </r>
      </text>
    </comment>
    <comment ref="D51" authorId="0" shapeId="0" xr:uid="{414D3EDB-5AD0-4A07-B9E4-767E74D87EBF}">
      <text>
        <r>
          <rPr>
            <sz val="9"/>
            <color indexed="81"/>
            <rFont val="Tahoma"/>
            <family val="2"/>
          </rPr>
          <t>sara:
conducting monthly meeting with project coordinator for achievment progress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<sst xmlns="http://schemas.openxmlformats.org/spreadsheetml/2006/main" count="1072" uniqueCount="350">
  <si>
    <t>Level</t>
  </si>
  <si>
    <t>Result</t>
  </si>
  <si>
    <t>Indicators</t>
  </si>
  <si>
    <t>End date</t>
  </si>
  <si>
    <t>Baseline</t>
  </si>
  <si>
    <t>Target</t>
  </si>
  <si>
    <t>Sampling</t>
  </si>
  <si>
    <t>Total</t>
  </si>
  <si>
    <t>Male</t>
  </si>
  <si>
    <t>Female</t>
  </si>
  <si>
    <t>Overall Objective</t>
  </si>
  <si>
    <t>Actual</t>
  </si>
  <si>
    <t>Planned</t>
  </si>
  <si>
    <t>Status</t>
  </si>
  <si>
    <t>Activity</t>
  </si>
  <si>
    <t>Children</t>
  </si>
  <si>
    <t>No.</t>
  </si>
  <si>
    <t>Source of learning</t>
  </si>
  <si>
    <t>If "Other", please specify</t>
  </si>
  <si>
    <t>Recommendation/Learning</t>
  </si>
  <si>
    <t>Action</t>
  </si>
  <si>
    <t>Responsible</t>
  </si>
  <si>
    <t>Comments</t>
  </si>
  <si>
    <t>Intervention Logic</t>
  </si>
  <si>
    <t>Reporting Frequency</t>
  </si>
  <si>
    <t>Means of Verification</t>
  </si>
  <si>
    <t>Data source</t>
  </si>
  <si>
    <t>Data collection</t>
  </si>
  <si>
    <t>Data entry</t>
  </si>
  <si>
    <t>Data verification</t>
  </si>
  <si>
    <t>Data analysis</t>
  </si>
  <si>
    <t>Data archiving</t>
  </si>
  <si>
    <t>Outputs</t>
  </si>
  <si>
    <t>Definition</t>
  </si>
  <si>
    <t>Calculation method</t>
  </si>
  <si>
    <t>Disaggregation</t>
  </si>
  <si>
    <t>Mitigation Measures</t>
  </si>
  <si>
    <t>WAS THE ASSUMPTION FULFILLED?</t>
  </si>
  <si>
    <t>Brief Summary about the intervention</t>
  </si>
  <si>
    <t>Start date</t>
  </si>
  <si>
    <t>Duration</t>
  </si>
  <si>
    <t>Currency</t>
  </si>
  <si>
    <t>Modification request or Amendement</t>
  </si>
  <si>
    <t>If Yes, please explain.</t>
  </si>
  <si>
    <t>Donor</t>
  </si>
  <si>
    <t>Implementing partners</t>
  </si>
  <si>
    <t>Target Group (s)</t>
  </si>
  <si>
    <t>Overall/Principal Objective</t>
  </si>
  <si>
    <t>Project Code</t>
  </si>
  <si>
    <t>Date Q1</t>
  </si>
  <si>
    <t>Date Q2</t>
  </si>
  <si>
    <t>Date Q3</t>
  </si>
  <si>
    <t>Date Q4</t>
  </si>
  <si>
    <t>Sex / Age</t>
  </si>
  <si>
    <t>Nb of beneficiaries</t>
  </si>
  <si>
    <t xml:space="preserve">Q1 </t>
  </si>
  <si>
    <t>Q2</t>
  </si>
  <si>
    <t>Q3</t>
  </si>
  <si>
    <t>Q4</t>
  </si>
  <si>
    <t>Activities</t>
  </si>
  <si>
    <t>2. Database - only for direct beneficiaries</t>
  </si>
  <si>
    <t>Q1</t>
  </si>
  <si>
    <t>Start Date</t>
  </si>
  <si>
    <t>Narrative/Comment</t>
  </si>
  <si>
    <t>Outcome</t>
  </si>
  <si>
    <t>PDM</t>
  </si>
  <si>
    <t>Monitoring Visit</t>
  </si>
  <si>
    <t>FGD</t>
  </si>
  <si>
    <t>Lessons learned exercise</t>
  </si>
  <si>
    <t>Other</t>
  </si>
  <si>
    <t>* IF "NO", OR "ONLY PARTLY", WHICH STRATEGY WAS ADOPTED BY THE PROJECT
* IF "YES", NO COMMENT SHOULD BE PROVIDED</t>
  </si>
  <si>
    <t>List of assumptions</t>
  </si>
  <si>
    <t>W1</t>
  </si>
  <si>
    <t>W2</t>
  </si>
  <si>
    <t>W3</t>
  </si>
  <si>
    <t>W4</t>
  </si>
  <si>
    <t>Responsible Person</t>
  </si>
  <si>
    <t xml:space="preserve">Narrative/Comments/Explanations
</t>
  </si>
  <si>
    <t>Progress</t>
  </si>
  <si>
    <t>Parents</t>
  </si>
  <si>
    <t>Direct BNFs</t>
  </si>
  <si>
    <t>In Direct BNF</t>
  </si>
  <si>
    <t>R1</t>
  </si>
  <si>
    <t>R2</t>
  </si>
  <si>
    <t>R3</t>
  </si>
  <si>
    <t>Males</t>
  </si>
  <si>
    <t>Project Beneficiaries</t>
  </si>
  <si>
    <t>1. Beneficiaries Dashboard</t>
  </si>
  <si>
    <t>Total Q2</t>
  </si>
  <si>
    <t>Total Q3</t>
  </si>
  <si>
    <t>Total Q4</t>
  </si>
  <si>
    <t xml:space="preserve">Activity </t>
  </si>
  <si>
    <t>7 - 10 years</t>
  </si>
  <si>
    <t>Total Q1</t>
  </si>
  <si>
    <t xml:space="preserve">Overview Dashboard 
report </t>
  </si>
  <si>
    <t xml:space="preserve">Duration </t>
  </si>
  <si>
    <t xml:space="preserve">Direct Beneficiaries- Overview </t>
  </si>
  <si>
    <t xml:space="preserve">Direct Beneficiaries -per Quarter </t>
  </si>
  <si>
    <t>Direct beneficiaries- per Activity Quarter 1</t>
  </si>
  <si>
    <t>Direct beneficiaries- per Activity Quarter 2</t>
  </si>
  <si>
    <t>Legend</t>
  </si>
  <si>
    <t>Nb</t>
  </si>
  <si>
    <t>BNF</t>
  </si>
  <si>
    <t>beneficiaries</t>
  </si>
  <si>
    <t>PWC</t>
  </si>
  <si>
    <t>People with disability</t>
  </si>
  <si>
    <t>Ax</t>
  </si>
  <si>
    <t>Qx</t>
  </si>
  <si>
    <t>Quarter</t>
  </si>
  <si>
    <t xml:space="preserve">Project Start </t>
  </si>
  <si>
    <t xml:space="preserve">Project End </t>
  </si>
  <si>
    <t>Youth</t>
  </si>
  <si>
    <t>26-40 years</t>
  </si>
  <si>
    <t>&gt;=41 years</t>
  </si>
  <si>
    <t>Profile</t>
  </si>
  <si>
    <t>Project Tracking Tool-NAWA association</t>
  </si>
  <si>
    <t>Project Title</t>
  </si>
  <si>
    <t>Sectors</t>
  </si>
  <si>
    <t>Psychosocial Support (Mental Health)</t>
  </si>
  <si>
    <t>INGO</t>
  </si>
  <si>
    <t>NGO</t>
  </si>
  <si>
    <t>CBOs</t>
  </si>
  <si>
    <t>UN agencies</t>
  </si>
  <si>
    <t>total Direct Beneficiaries planned</t>
  </si>
  <si>
    <t>Date of MR</t>
  </si>
  <si>
    <t>Children- School age</t>
  </si>
  <si>
    <t>children pre school</t>
  </si>
  <si>
    <t>Baseline Requirements</t>
  </si>
  <si>
    <t>Achievement</t>
  </si>
  <si>
    <t>Actual progress</t>
  </si>
  <si>
    <t>Remaining</t>
  </si>
  <si>
    <t>Time spent (%)</t>
  </si>
  <si>
    <t xml:space="preserve">Implementation(%)
</t>
  </si>
  <si>
    <t>Budget use (%)</t>
  </si>
  <si>
    <t>Planned Progress</t>
  </si>
  <si>
    <t>Real Progress</t>
  </si>
  <si>
    <t>Overall Project Progress</t>
  </si>
  <si>
    <t>Activity 1.2</t>
  </si>
  <si>
    <t>Activity 1.1</t>
  </si>
  <si>
    <t>Activity 1.3</t>
  </si>
  <si>
    <t>Budget spent</t>
  </si>
  <si>
    <t>Activity Progress</t>
  </si>
  <si>
    <t>Quarter 1</t>
  </si>
  <si>
    <t>Quarter 2</t>
  </si>
  <si>
    <t>Quarter 3</t>
  </si>
  <si>
    <t>Quarter 4</t>
  </si>
  <si>
    <t>Frequency</t>
  </si>
  <si>
    <t>Achievement Level (%)</t>
  </si>
  <si>
    <t>Brief Updates</t>
  </si>
  <si>
    <t>As planned</t>
  </si>
  <si>
    <t>WK1</t>
  </si>
  <si>
    <t>WK2</t>
  </si>
  <si>
    <t>WK3</t>
  </si>
  <si>
    <t>WK4</t>
  </si>
  <si>
    <t>Delayed activity</t>
  </si>
  <si>
    <t>Monitoring and Evaluation</t>
  </si>
  <si>
    <t>Monitoring visits</t>
  </si>
  <si>
    <t xml:space="preserve">1.3.1. Development of the tools </t>
  </si>
  <si>
    <t>1.3.2. Data collection</t>
  </si>
  <si>
    <t>1.3.3. Data entry/cleaning</t>
  </si>
  <si>
    <t>1.3.4. Data analysis</t>
  </si>
  <si>
    <t>1.3.5. Reporting</t>
  </si>
  <si>
    <t>Accountability: Feedback and Complaint Mechanism</t>
  </si>
  <si>
    <t xml:space="preserve">Developing the Joint feedback/complaint form and setting up Joint complaints and feedback mechanism </t>
  </si>
  <si>
    <t>Receiving and documenting the complaints and feedback forms in the log sheet</t>
  </si>
  <si>
    <t>Analyzing the received forms and preparing response letters</t>
  </si>
  <si>
    <t>Preparing a summary report about the received complaint/feedback forms</t>
  </si>
  <si>
    <t>Mid-term Review</t>
  </si>
  <si>
    <t>Reporting</t>
  </si>
  <si>
    <t>Interim Narrative Report</t>
  </si>
  <si>
    <t>Final Narrative Report</t>
  </si>
  <si>
    <t>Endine</t>
  </si>
  <si>
    <t>Draft report</t>
  </si>
  <si>
    <t>Final report</t>
  </si>
  <si>
    <t xml:space="preserve"> Develop the agenda of the workshop</t>
  </si>
  <si>
    <t xml:space="preserve"> Conducting the workshop</t>
  </si>
  <si>
    <t>Issue the first draft of the report</t>
  </si>
  <si>
    <t xml:space="preserve"> Finalize the report</t>
  </si>
  <si>
    <t xml:space="preserve"> Prepare management response plan</t>
  </si>
  <si>
    <t>Responsibility</t>
  </si>
  <si>
    <t>planned/Actual</t>
  </si>
  <si>
    <t>Overall progress</t>
  </si>
  <si>
    <t>Project Manager/coordinator</t>
  </si>
  <si>
    <t>Nawa Share</t>
  </si>
  <si>
    <t xml:space="preserve">Donor Share </t>
  </si>
  <si>
    <t>Total Budget</t>
  </si>
  <si>
    <t># of direct BNFS</t>
  </si>
  <si>
    <t>Local Government (Ministries) MoEHE</t>
  </si>
  <si>
    <t>Deir Al Balah</t>
  </si>
  <si>
    <t>Geographical coverage</t>
  </si>
  <si>
    <t>Donor report 1</t>
  </si>
  <si>
    <t>Donor Reporting Requirements</t>
  </si>
  <si>
    <t>Donor report 2</t>
  </si>
  <si>
    <t>Report #</t>
  </si>
  <si>
    <t>Reporting period</t>
  </si>
  <si>
    <t>submission date</t>
  </si>
  <si>
    <t>From</t>
  </si>
  <si>
    <t>To</t>
  </si>
  <si>
    <t>CWDs Male</t>
  </si>
  <si>
    <t>CWDs Female</t>
  </si>
  <si>
    <t>Abbreviation</t>
  </si>
  <si>
    <t>Number of beneficiaries</t>
  </si>
  <si>
    <t>Overall Impact</t>
  </si>
  <si>
    <t>Outcome (1)</t>
  </si>
  <si>
    <r>
      <t>Title of the Project</t>
    </r>
    <r>
      <rPr>
        <sz val="12"/>
        <color rgb="FFFF0000"/>
        <rFont val="Calibri"/>
        <family val="2"/>
        <scheme val="minor"/>
      </rPr>
      <t xml:space="preserve"> </t>
    </r>
  </si>
  <si>
    <t>Output 1.1</t>
  </si>
  <si>
    <t>Activities 1.1</t>
  </si>
  <si>
    <t>Output 1.2</t>
  </si>
  <si>
    <t>Outcome (2)</t>
  </si>
  <si>
    <t>Output 2.1</t>
  </si>
  <si>
    <t>Output 2.2</t>
  </si>
  <si>
    <t>Activities 2.2</t>
  </si>
  <si>
    <t>Outcome (3)</t>
  </si>
  <si>
    <t>Output 3.1</t>
  </si>
  <si>
    <t>Activities 3.1</t>
  </si>
  <si>
    <t>Output 3.2</t>
  </si>
  <si>
    <t>Objectively Verifiable Indicators</t>
  </si>
  <si>
    <r>
      <t>Target Value</t>
    </r>
    <r>
      <rPr>
        <sz val="12"/>
        <rFont val="Calibri"/>
        <family val="2"/>
        <scheme val="minor"/>
      </rPr>
      <t xml:space="preserve">  </t>
    </r>
  </si>
  <si>
    <t>Sources of Verification</t>
  </si>
  <si>
    <t>Risks and Assumptions</t>
  </si>
  <si>
    <t>Lessons Learnt (optional)</t>
  </si>
  <si>
    <t>NAWA educators</t>
  </si>
  <si>
    <t>monthly</t>
  </si>
  <si>
    <t>Data collection Method</t>
  </si>
  <si>
    <t>Detailed Implementation Plan</t>
  </si>
  <si>
    <t>Sub Activity (in case)</t>
  </si>
  <si>
    <t>MEAL Officer</t>
  </si>
  <si>
    <t>Project staff</t>
  </si>
  <si>
    <t>MEAL department</t>
  </si>
  <si>
    <t>MEAL Department</t>
  </si>
  <si>
    <t>Once a year for new beneficiaries</t>
  </si>
  <si>
    <t>Once a year for exit beneficiaries</t>
  </si>
  <si>
    <t>Not applicable yet</t>
  </si>
  <si>
    <t>MEAL Department/ excutive director</t>
  </si>
  <si>
    <t>Project Coordinator</t>
  </si>
  <si>
    <t>MEAL Officer/ Executive director</t>
  </si>
  <si>
    <t>semi-annual</t>
  </si>
  <si>
    <t>at the end of the project (after five years)</t>
  </si>
  <si>
    <t>low academic achiever children</t>
  </si>
  <si>
    <t>Schools interventions</t>
  </si>
  <si>
    <t>Al Khidr library interventions</t>
  </si>
  <si>
    <t>Parents activities</t>
  </si>
  <si>
    <t>NAWA educator training</t>
  </si>
  <si>
    <t>Local educator trainings</t>
  </si>
  <si>
    <t>Local Educator</t>
  </si>
  <si>
    <t>NAWA educator</t>
  </si>
  <si>
    <t>not applicable yet, but NAWA's MEAL department start to conduct project progress meeting with project coordinator monthly from August 2020</t>
  </si>
  <si>
    <t>Cultural</t>
  </si>
  <si>
    <t>Artistic</t>
  </si>
  <si>
    <t>Educational</t>
  </si>
  <si>
    <t>Local Educators</t>
  </si>
  <si>
    <t>Nawa Educators</t>
  </si>
  <si>
    <t>Donor report 3</t>
  </si>
  <si>
    <t>Donor report 4</t>
  </si>
  <si>
    <t>Donor report 5</t>
  </si>
  <si>
    <t>Donor report 6</t>
  </si>
  <si>
    <t>Donor report 7</t>
  </si>
  <si>
    <t>Donor report 8</t>
  </si>
  <si>
    <t>Donor report 9</t>
  </si>
  <si>
    <t>Donor report 10</t>
  </si>
  <si>
    <t>target</t>
  </si>
  <si>
    <t>monthly review meetings</t>
  </si>
  <si>
    <t>Timing (deadline)</t>
  </si>
  <si>
    <t>value</t>
  </si>
  <si>
    <t>unit</t>
  </si>
  <si>
    <t>Results</t>
  </si>
  <si>
    <t>Result 2</t>
  </si>
  <si>
    <t>Period of Action (annual)</t>
  </si>
  <si>
    <t>Activity 2.1</t>
  </si>
  <si>
    <t>Activity 2.2</t>
  </si>
  <si>
    <t>Activity 2.3</t>
  </si>
  <si>
    <t>Activity 2.4</t>
  </si>
  <si>
    <t>Activity 2.5</t>
  </si>
  <si>
    <t>Activity 3.1</t>
  </si>
  <si>
    <t>Activity 3.2</t>
  </si>
  <si>
    <t>planned/actual</t>
  </si>
  <si>
    <t>Results' Progress</t>
  </si>
  <si>
    <t>Result 1</t>
  </si>
  <si>
    <t>Result 3</t>
  </si>
  <si>
    <t>4-6 years</t>
  </si>
  <si>
    <t>11- 15 years</t>
  </si>
  <si>
    <t>16-18 years</t>
  </si>
  <si>
    <t xml:space="preserve">19- 25 years </t>
  </si>
  <si>
    <t>RESULT</t>
  </si>
  <si>
    <t>Males(CWDs)</t>
  </si>
  <si>
    <t>Females</t>
  </si>
  <si>
    <t>Females (CWDs)</t>
  </si>
  <si>
    <t>Males (CWDs)</t>
  </si>
  <si>
    <t>Female  (CWDs)</t>
  </si>
  <si>
    <t>Q1 Males</t>
  </si>
  <si>
    <t>Q1 Females</t>
  </si>
  <si>
    <t>Q4 Males</t>
  </si>
  <si>
    <t>Q4 Females</t>
  </si>
  <si>
    <t>Q3 Males</t>
  </si>
  <si>
    <t>Q3 Females</t>
  </si>
  <si>
    <t>Q2 Males</t>
  </si>
  <si>
    <t>Q2 Females</t>
  </si>
  <si>
    <t>CWDS</t>
  </si>
  <si>
    <t>Activity type</t>
  </si>
  <si>
    <t>KEY</t>
  </si>
  <si>
    <t>WHO</t>
  </si>
  <si>
    <t>WHEN</t>
  </si>
  <si>
    <t>WHY</t>
  </si>
  <si>
    <t>Guidelines For Completing the Project tracking tool</t>
  </si>
  <si>
    <t>M</t>
  </si>
  <si>
    <t>FM</t>
  </si>
  <si>
    <t>CWD M</t>
  </si>
  <si>
    <t>CWD FM</t>
  </si>
  <si>
    <t>Total Year 1</t>
  </si>
  <si>
    <t>outputs</t>
  </si>
  <si>
    <t>Indicator</t>
  </si>
  <si>
    <t>#</t>
  </si>
  <si>
    <t>output 1</t>
  </si>
  <si>
    <t>output 2</t>
  </si>
  <si>
    <t>output 3</t>
  </si>
  <si>
    <t>Numerator</t>
  </si>
  <si>
    <t>Denominator</t>
  </si>
  <si>
    <t>N-M</t>
  </si>
  <si>
    <t>N-FM</t>
  </si>
  <si>
    <t>N-M (CWDs)</t>
  </si>
  <si>
    <t>N-FM (CWDs)</t>
  </si>
  <si>
    <t>% FM</t>
  </si>
  <si>
    <t>% M</t>
  </si>
  <si>
    <t>% M (CWDs)</t>
  </si>
  <si>
    <t>% FM (CWDs)</t>
  </si>
  <si>
    <t>D-M</t>
  </si>
  <si>
    <t>D-FM</t>
  </si>
  <si>
    <t>D-M (CWDs)</t>
  </si>
  <si>
    <t>D-FM (CWDs)</t>
  </si>
  <si>
    <t>Total achieved</t>
  </si>
  <si>
    <t>1. To enable a systematic follow up of the project's progress towards expected results (activity, indicators, beneficiaries and assumptions) by the coordinators, CEO and M&amp;E
2. To serve as a support for regular project meetings
3. To facilitate project reporting
4. To facilitate the Management team the monitoring of project's progress and challenges at to provide a quick overview which allows for faster feedback</t>
  </si>
  <si>
    <t>sheets that should be filled once at the beginning of the project</t>
  </si>
  <si>
    <t>sheets that should be updated regularly after preparation at the planning stage</t>
  </si>
  <si>
    <t>planning sheets</t>
  </si>
  <si>
    <t>Monitoring sheets</t>
  </si>
  <si>
    <t>The initiation process and preparation of the sheet should start with MEAL staff, then Coordinators take over and fill all required information and planning. Fully participatory process between MEAL and program teams.</t>
  </si>
  <si>
    <r>
      <t>Fill in for</t>
    </r>
    <r>
      <rPr>
        <b/>
        <sz val="10"/>
        <color theme="1"/>
        <rFont val="Calibri"/>
        <family val="2"/>
        <scheme val="minor"/>
      </rPr>
      <t xml:space="preserve"> each monitoring</t>
    </r>
  </si>
  <si>
    <r>
      <t xml:space="preserve">Fill in </t>
    </r>
    <r>
      <rPr>
        <b/>
        <sz val="10"/>
        <color theme="1"/>
        <rFont val="Calibri"/>
        <family val="2"/>
        <scheme val="minor"/>
      </rPr>
      <t>AT THE START OF THE PROJECT</t>
    </r>
  </si>
  <si>
    <r>
      <t xml:space="preserve">Information available in the project proposal or Formulas - </t>
    </r>
    <r>
      <rPr>
        <b/>
        <sz val="10"/>
        <color theme="1"/>
        <rFont val="Calibri"/>
        <family val="2"/>
        <scheme val="minor"/>
      </rPr>
      <t>DO NOT DELETE/MODIFY !</t>
    </r>
  </si>
  <si>
    <r>
      <t xml:space="preserve">Monthly for The </t>
    </r>
    <r>
      <rPr>
        <b/>
        <sz val="10"/>
        <color theme="1"/>
        <rFont val="Calibri"/>
        <family val="2"/>
        <scheme val="minor"/>
      </rPr>
      <t>project workplan, output indicator and beneficiaries database</t>
    </r>
    <r>
      <rPr>
        <sz val="10"/>
        <rFont val="Calibri"/>
        <family val="2"/>
        <scheme val="minor"/>
      </rPr>
      <t xml:space="preserve">. For the </t>
    </r>
    <r>
      <rPr>
        <b/>
        <sz val="10"/>
        <color theme="1"/>
        <rFont val="Calibri"/>
        <family val="2"/>
        <scheme val="minor"/>
      </rPr>
      <t>remaining spreadsheets</t>
    </r>
    <r>
      <rPr>
        <sz val="10"/>
        <rFont val="Calibri"/>
        <family val="2"/>
        <scheme val="minor"/>
      </rPr>
      <t xml:space="preserve"> the appropriate frequency is </t>
    </r>
    <r>
      <rPr>
        <b/>
        <sz val="10"/>
        <color theme="1"/>
        <rFont val="Calibri"/>
        <family val="2"/>
        <scheme val="minor"/>
      </rPr>
      <t xml:space="preserve">quarterly </t>
    </r>
    <r>
      <rPr>
        <sz val="10"/>
        <rFont val="Calibri"/>
        <family val="2"/>
        <scheme val="minor"/>
      </rPr>
      <t xml:space="preserve">for long-term projects and bi-monthly or monthly for short projects. </t>
    </r>
  </si>
  <si>
    <t>MIS</t>
  </si>
  <si>
    <t>Results' Level</t>
  </si>
  <si>
    <t>Data collection Frequency</t>
  </si>
  <si>
    <t>outcomes</t>
  </si>
  <si>
    <r>
      <rPr>
        <b/>
        <u/>
        <sz val="11"/>
        <color theme="1"/>
        <rFont val="Calibri"/>
        <family val="2"/>
        <scheme val="minor"/>
      </rPr>
      <t>User Instructions</t>
    </r>
    <r>
      <rPr>
        <sz val="11"/>
        <color theme="1"/>
        <rFont val="Calibri"/>
        <family val="2"/>
        <scheme val="minor"/>
      </rPr>
      <t xml:space="preserve">
Beneficiaries dashboard is automatic calcution </t>
    </r>
    <r>
      <rPr>
        <b/>
        <sz val="11"/>
        <color theme="1"/>
        <rFont val="Calibri"/>
        <family val="2"/>
        <scheme val="minor"/>
      </rPr>
      <t>DO NOT change</t>
    </r>
    <r>
      <rPr>
        <sz val="11"/>
        <color theme="1"/>
        <rFont val="Calibri"/>
        <family val="2"/>
        <scheme val="minor"/>
      </rPr>
      <t xml:space="preserve"> formulas except for MEAL staff
</t>
    </r>
    <r>
      <rPr>
        <b/>
        <sz val="11"/>
        <color theme="1"/>
        <rFont val="Calibri"/>
        <family val="2"/>
        <scheme val="minor"/>
      </rPr>
      <t>Database 2</t>
    </r>
    <r>
      <rPr>
        <sz val="11"/>
        <color theme="1"/>
        <rFont val="Calibri"/>
        <family val="2"/>
        <scheme val="minor"/>
      </rPr>
      <t xml:space="preserve"> data entry should be done by project team, MEAL to follow up and ensure accuracy and consistency with MoVs (only </t>
    </r>
    <r>
      <rPr>
        <b/>
        <sz val="11"/>
        <color theme="1"/>
        <rFont val="Calibri"/>
        <family val="2"/>
        <scheme val="minor"/>
      </rPr>
      <t>UNIQUE</t>
    </r>
    <r>
      <rPr>
        <sz val="11"/>
        <color theme="1"/>
        <rFont val="Calibri"/>
        <family val="2"/>
        <scheme val="minor"/>
      </rPr>
      <t xml:space="preserve"> BNFs no double counting)
</t>
    </r>
    <r>
      <rPr>
        <b/>
        <sz val="11"/>
        <color theme="1"/>
        <rFont val="Calibri"/>
        <family val="2"/>
        <scheme val="minor"/>
      </rPr>
      <t xml:space="preserve">Data update </t>
    </r>
    <r>
      <rPr>
        <sz val="11"/>
        <color theme="1"/>
        <rFont val="Calibri"/>
        <family val="2"/>
        <scheme val="minor"/>
      </rPr>
      <t xml:space="preserve">should be done on Quarterly basis basis (unless no changes occured on BN numbers)
</t>
    </r>
    <r>
      <rPr>
        <b/>
        <sz val="11"/>
        <color theme="1"/>
        <rFont val="Calibri"/>
        <family val="2"/>
        <scheme val="minor"/>
      </rPr>
      <t xml:space="preserve">Direct BNFs </t>
    </r>
    <r>
      <rPr>
        <sz val="11"/>
        <color theme="1"/>
        <rFont val="Calibri"/>
        <family val="2"/>
        <scheme val="minor"/>
      </rPr>
      <t xml:space="preserve">are those who participate directly in the project, and thus benefit from its existence i.e teachers who attended trainings with Nawa
</t>
    </r>
    <r>
      <rPr>
        <b/>
        <sz val="11"/>
        <color theme="1"/>
        <rFont val="Calibri"/>
        <family val="2"/>
        <scheme val="minor"/>
      </rPr>
      <t>Non-Direct BNFs</t>
    </r>
    <r>
      <rPr>
        <sz val="11"/>
        <color theme="1"/>
        <rFont val="Calibri"/>
        <family val="2"/>
        <scheme val="minor"/>
      </rPr>
      <t xml:space="preserve"> are those stakeholders who might benefit from direct interaction with Nawa beneficiaires or all those living within the zone of influence of the project (not always the case) i.e teachers (who didn't join the training) but possible interaction with their colleagues who did joined the trainings
</t>
    </r>
  </si>
  <si>
    <r>
      <t>Date</t>
    </r>
    <r>
      <rPr>
        <b/>
        <sz val="11"/>
        <color theme="1"/>
        <rFont val="Calibri"/>
        <family val="2"/>
        <scheme val="minor"/>
      </rPr>
      <t xml:space="preserve"> (when the recommendation was added)</t>
    </r>
  </si>
  <si>
    <t>this is automatic generated Dash board please don't change focmulas</t>
  </si>
  <si>
    <t>fill it</t>
  </si>
  <si>
    <t>Outcomes</t>
  </si>
  <si>
    <t>PWDs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</si>
</sst>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00_-;\-* #,##0.00_-;_-* &quot;-&quot;??_-;_-@_-"/>
    <numFmt numFmtId="165" formatCode="[$-409]d\-mmm\-yyyy;@"/>
    <numFmt numFmtId="166" formatCode="dd/mm/yyyy;@"/>
    <numFmt numFmtId="167" formatCode="[$-409]mmmm/yy;@"/>
    <numFmt numFmtId="168" formatCode="&quot;$&quot;#,##0"/>
    <numFmt numFmtId="169" formatCode="[$-F800]dddd\,\ mmmm\ dd\,\ yyyy"/>
    <numFmt numFmtId="170" formatCode="d/m/yy;@"/>
  </numFmts>
  <fonts count="70"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sz val="11"/>
      <name val="Calibri"/>
      <family val="2"/>
      <scheme val="minor"/>
    </font>
    <font>
      <sz val="10"/>
      <name val="Arial"/>
      <family val="2"/>
    </font>
    <font>
      <sz val="11"/>
      <color rgb="FF3F3F76"/>
      <name val="Calibri"/>
      <family val="2"/>
      <scheme val="minor"/>
    </font>
    <font>
      <i/>
      <sz val="11"/>
      <color theme="1"/>
      <name val="Calibri"/>
      <family val="2"/>
      <scheme val="minor"/>
    </font>
    <font>
      <sz val="11"/>
      <color rgb="FFFF0000"/>
      <name val="Calibri"/>
      <family val="2"/>
      <scheme val="minor"/>
    </font>
    <font>
      <sz val="14"/>
      <color theme="1"/>
      <name val="Calibri"/>
      <family val="2"/>
      <scheme val="minor"/>
    </font>
    <font>
      <sz val="12"/>
      <color theme="1"/>
      <name val="Calibri"/>
      <family val="2"/>
      <scheme val="minor"/>
    </font>
    <font>
      <sz val="10"/>
      <name val="Calibri"/>
      <family val="2"/>
      <scheme val="minor"/>
    </font>
    <font>
      <sz val="14"/>
      <color rgb="FFFF0000"/>
      <name val="Calibri"/>
      <family val="2"/>
      <scheme val="minor"/>
    </font>
    <font>
      <sz val="14"/>
      <color rgb="FFC00000"/>
      <name val="Calibri"/>
      <family val="2"/>
      <scheme val="minor"/>
    </font>
    <font>
      <b/>
      <i/>
      <sz val="11"/>
      <color theme="1"/>
      <name val="Calibri"/>
      <family val="2"/>
      <scheme val="minor"/>
    </font>
    <font>
      <b/>
      <sz val="22"/>
      <color theme="0"/>
      <name val="Calibri"/>
      <family val="2"/>
      <scheme val="minor"/>
    </font>
    <font>
      <b/>
      <sz val="11"/>
      <color theme="0"/>
      <name val="Calibri"/>
      <family val="2"/>
      <scheme val="minor"/>
    </font>
    <font>
      <b/>
      <sz val="11"/>
      <color rgb="FFC00000"/>
      <name val="Arial"/>
      <family val="2"/>
    </font>
    <font>
      <sz val="8"/>
      <name val="Calibri"/>
      <family val="2"/>
      <scheme val="minor"/>
    </font>
    <font>
      <b/>
      <sz val="16"/>
      <color theme="1"/>
      <name val="Calibri"/>
      <family val="2"/>
      <scheme val="minor"/>
    </font>
    <font>
      <i/>
      <sz val="16"/>
      <color theme="1"/>
      <name val="Calibri"/>
      <family val="2"/>
      <scheme val="minor"/>
    </font>
    <font>
      <b/>
      <sz val="14"/>
      <name val="Calibri"/>
      <family val="2"/>
      <scheme val="minor"/>
    </font>
    <font>
      <sz val="14"/>
      <name val="Calibri"/>
      <family val="2"/>
      <scheme val="minor"/>
    </font>
    <font>
      <b/>
      <sz val="20"/>
      <color theme="1"/>
      <name val="Calibri"/>
      <family val="2"/>
      <scheme val="minor"/>
    </font>
    <font>
      <sz val="12"/>
      <color rgb="FFFF0000"/>
      <name val="Calibri"/>
      <family val="2"/>
      <scheme val="minor"/>
    </font>
    <font>
      <b/>
      <sz val="12"/>
      <color theme="1"/>
      <name val="Calibri"/>
      <family val="2"/>
      <scheme val="minor"/>
    </font>
    <font>
      <b/>
      <sz val="12"/>
      <name val="Calibri"/>
      <family val="2"/>
      <scheme val="minor"/>
    </font>
    <font>
      <sz val="12"/>
      <name val="Calibri"/>
      <family val="2"/>
      <scheme val="minor"/>
    </font>
    <font>
      <sz val="12"/>
      <color theme="1"/>
      <name val="Calibri Light"/>
      <family val="2"/>
      <scheme val="major"/>
    </font>
    <font>
      <sz val="12"/>
      <color rgb="FF7030A0"/>
      <name val="Calibri"/>
      <family val="2"/>
      <scheme val="minor"/>
    </font>
    <font>
      <sz val="12"/>
      <color indexed="8"/>
      <name val="Calibri"/>
      <family val="2"/>
      <scheme val="minor"/>
    </font>
    <font>
      <sz val="12"/>
      <name val="Calibri"/>
      <family val="2"/>
    </font>
    <font>
      <sz val="12"/>
      <color theme="1"/>
      <name val="Franklin Gothic Book"/>
      <family val="2"/>
    </font>
    <font>
      <sz val="12"/>
      <color theme="1"/>
      <name val="Calibri"/>
      <family val="2"/>
    </font>
    <font>
      <b/>
      <sz val="12"/>
      <color rgb="FFC00000"/>
      <name val="Calibri"/>
      <family val="2"/>
      <scheme val="minor"/>
    </font>
    <font>
      <b/>
      <sz val="11"/>
      <color theme="1"/>
      <name val="Calibri"/>
      <family val="2"/>
    </font>
    <font>
      <b/>
      <sz val="14"/>
      <color theme="1"/>
      <name val="Calibri"/>
      <family val="2"/>
      <scheme val="minor"/>
    </font>
    <font>
      <b/>
      <sz val="12"/>
      <color theme="1"/>
      <name val="Calibri"/>
      <family val="2"/>
    </font>
    <font>
      <sz val="10"/>
      <color theme="1"/>
      <name val="Calibri"/>
      <family val="2"/>
      <scheme val="minor"/>
    </font>
    <font>
      <b/>
      <sz val="12"/>
      <color theme="0"/>
      <name val="Calibri"/>
      <family val="2"/>
      <scheme val="minor"/>
    </font>
    <font>
      <sz val="12"/>
      <color theme="1"/>
      <name val="Arial"/>
      <family val="2"/>
    </font>
    <font>
      <b/>
      <sz val="12"/>
      <name val="Arial"/>
      <family val="2"/>
    </font>
    <font>
      <b/>
      <sz val="12"/>
      <color theme="1"/>
      <name val="Arial"/>
      <family val="2"/>
    </font>
    <font>
      <sz val="12"/>
      <name val="Arial"/>
      <family val="2"/>
    </font>
    <font>
      <b/>
      <sz val="11"/>
      <name val="Arial"/>
      <family val="2"/>
    </font>
    <font>
      <b/>
      <sz val="10"/>
      <name val="Arial"/>
      <family val="2"/>
    </font>
    <font>
      <sz val="14"/>
      <color theme="1"/>
      <name val="Arial"/>
      <family val="2"/>
      <charset val="238"/>
    </font>
    <font>
      <sz val="9"/>
      <color indexed="81"/>
      <name val="Tahoma"/>
      <family val="2"/>
    </font>
    <font>
      <b/>
      <sz val="9"/>
      <color indexed="81"/>
      <name val="Tahoma"/>
      <family val="2"/>
    </font>
    <font>
      <b/>
      <u/>
      <sz val="11"/>
      <color theme="1"/>
      <name val="Calibri"/>
      <family val="2"/>
      <scheme val="minor"/>
    </font>
    <font>
      <b/>
      <sz val="16"/>
      <name val="Calibri"/>
      <family val="2"/>
      <scheme val="minor"/>
    </font>
    <font>
      <sz val="14"/>
      <color theme="1"/>
      <name val="Calibri Light"/>
      <family val="2"/>
      <scheme val="major"/>
    </font>
    <font>
      <sz val="14"/>
      <color rgb="FF7030A0"/>
      <name val="Calibri"/>
      <family val="2"/>
      <scheme val="minor"/>
    </font>
    <font>
      <sz val="14"/>
      <color indexed="8"/>
      <name val="Calibri"/>
      <family val="2"/>
      <scheme val="minor"/>
    </font>
    <font>
      <sz val="14"/>
      <name val="Calibri"/>
      <family val="2"/>
    </font>
    <font>
      <b/>
      <sz val="12"/>
      <color indexed="81"/>
      <name val="Tahoma"/>
      <family val="2"/>
    </font>
    <font>
      <sz val="12"/>
      <color rgb="FF000000"/>
      <name val="Calibri"/>
      <family val="2"/>
      <scheme val="minor"/>
    </font>
    <font>
      <sz val="12"/>
      <color rgb="FF000000"/>
      <name val="Calibri"/>
      <family val="2"/>
    </font>
    <font>
      <sz val="18"/>
      <color theme="1"/>
      <name val="Calibri"/>
      <family val="2"/>
      <scheme val="minor"/>
    </font>
    <font>
      <b/>
      <sz val="16"/>
      <name val="Arial"/>
      <family val="2"/>
    </font>
    <font>
      <u/>
      <sz val="10"/>
      <color indexed="12"/>
      <name val="Arial"/>
      <family val="2"/>
    </font>
    <font>
      <b/>
      <sz val="11"/>
      <color theme="1"/>
      <name val="Calibri"/>
      <family val="2"/>
      <charset val="238"/>
      <scheme val="minor"/>
    </font>
    <font>
      <b/>
      <sz val="11"/>
      <color rgb="FFFF0000"/>
      <name val="Calibri"/>
      <family val="2"/>
      <scheme val="minor"/>
    </font>
    <font>
      <b/>
      <sz val="16"/>
      <color theme="1"/>
      <name val="Calibri"/>
      <family val="2"/>
    </font>
    <font>
      <b/>
      <sz val="10"/>
      <color theme="1"/>
      <name val="Calibri"/>
      <family val="2"/>
      <scheme val="minor"/>
    </font>
    <font>
      <b/>
      <sz val="10"/>
      <name val="Calibri"/>
      <family val="2"/>
      <scheme val="minor"/>
    </font>
    <font>
      <b/>
      <sz val="16"/>
      <color indexed="8"/>
      <name val="Calibri"/>
      <family val="2"/>
    </font>
    <font>
      <sz val="16"/>
      <color theme="1"/>
      <name val="Calibri"/>
      <family val="2"/>
      <scheme val="minor"/>
    </font>
    <font>
      <sz val="11"/>
      <name val="Arial"/>
      <family val="2"/>
    </font>
    <font>
      <sz val="11"/>
      <color theme="1"/>
      <name val="Georgia"/>
      <family val="1"/>
    </font>
  </fonts>
  <fills count="34">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2"/>
        <bgColor indexed="64"/>
      </patternFill>
    </fill>
    <fill>
      <patternFill patternType="solid">
        <fgColor theme="0" tint="-0.249977111117893"/>
        <bgColor indexed="64"/>
      </patternFill>
    </fill>
    <fill>
      <patternFill patternType="solid">
        <fgColor rgb="FFFFCC99"/>
      </patternFill>
    </fill>
    <fill>
      <patternFill patternType="solid">
        <fgColor rgb="FFF2F2F2"/>
        <bgColor indexed="64"/>
      </patternFill>
    </fill>
    <fill>
      <patternFill patternType="solid">
        <fgColor theme="0" tint="-0.14999847407452621"/>
        <bgColor indexed="64"/>
      </patternFill>
    </fill>
    <fill>
      <patternFill patternType="solid">
        <fgColor rgb="FFC00000"/>
        <bgColor indexed="64"/>
      </patternFill>
    </fill>
    <fill>
      <patternFill patternType="solid">
        <fgColor rgb="FF009BA3"/>
        <bgColor indexed="64"/>
      </patternFill>
    </fill>
    <fill>
      <patternFill patternType="solid">
        <fgColor theme="5" tint="0.79998168889431442"/>
        <bgColor indexed="64"/>
      </patternFill>
    </fill>
    <fill>
      <patternFill patternType="solid">
        <fgColor rgb="FFFFC000"/>
        <bgColor indexed="64"/>
      </patternFill>
    </fill>
    <fill>
      <patternFill patternType="solid">
        <fgColor theme="9" tint="0.39997558519241921"/>
        <bgColor indexed="64"/>
      </patternFill>
    </fill>
    <fill>
      <patternFill patternType="solid">
        <fgColor rgb="FFFF0000"/>
        <bgColor indexed="64"/>
      </patternFill>
    </fill>
    <fill>
      <patternFill patternType="solid">
        <fgColor theme="4" tint="0.79998168889431442"/>
        <bgColor indexed="64"/>
      </patternFill>
    </fill>
    <fill>
      <patternFill patternType="solid">
        <fgColor rgb="FF18F418"/>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theme="7" tint="0.59999389629810485"/>
        <bgColor indexed="64"/>
      </patternFill>
    </fill>
    <fill>
      <patternFill patternType="solid">
        <fgColor rgb="FFD9D9D9"/>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4"/>
        <bgColor indexed="64"/>
      </patternFill>
    </fill>
    <fill>
      <patternFill patternType="solid">
        <fgColor theme="3" tint="0.79998168889431442"/>
        <bgColor indexed="64"/>
      </patternFill>
    </fill>
    <fill>
      <patternFill patternType="solid">
        <fgColor rgb="FFDEEAF6"/>
        <bgColor rgb="FFDEEAF6"/>
      </patternFill>
    </fill>
    <fill>
      <patternFill patternType="solid">
        <fgColor theme="0"/>
        <bgColor theme="0"/>
      </patternFill>
    </fill>
  </fills>
  <borders count="12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auto="1"/>
      </right>
      <top style="thin">
        <color auto="1"/>
      </top>
      <bottom style="thin">
        <color auto="1"/>
      </bottom>
      <diagonal/>
    </border>
    <border>
      <left/>
      <right/>
      <top style="thin">
        <color indexed="64"/>
      </top>
      <bottom style="thin">
        <color indexed="64"/>
      </bottom>
      <diagonal/>
    </border>
    <border>
      <left style="medium">
        <color indexed="64"/>
      </left>
      <right style="thin">
        <color auto="1"/>
      </right>
      <top style="thin">
        <color auto="1"/>
      </top>
      <bottom/>
      <diagonal/>
    </border>
    <border>
      <left style="medium">
        <color indexed="64"/>
      </left>
      <right style="thin">
        <color auto="1"/>
      </right>
      <top/>
      <bottom/>
      <diagonal/>
    </border>
    <border>
      <left style="medium">
        <color indexed="64"/>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medium">
        <color auto="1"/>
      </left>
      <right/>
      <top style="medium">
        <color auto="1"/>
      </top>
      <bottom/>
      <diagonal/>
    </border>
    <border>
      <left style="thin">
        <color auto="1"/>
      </left>
      <right style="thin">
        <color auto="1"/>
      </right>
      <top style="medium">
        <color auto="1"/>
      </top>
      <bottom style="thin">
        <color auto="1"/>
      </bottom>
      <diagonal/>
    </border>
    <border>
      <left style="medium">
        <color auto="1"/>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64"/>
      </left>
      <right style="medium">
        <color indexed="64"/>
      </right>
      <top style="thin">
        <color auto="1"/>
      </top>
      <bottom style="thin">
        <color auto="1"/>
      </bottom>
      <diagonal/>
    </border>
    <border>
      <left style="medium">
        <color rgb="FF333333"/>
      </left>
      <right/>
      <top style="medium">
        <color rgb="FF333333"/>
      </top>
      <bottom style="medium">
        <color rgb="FF333333"/>
      </bottom>
      <diagonal/>
    </border>
    <border>
      <left/>
      <right/>
      <top style="medium">
        <color rgb="FF333333"/>
      </top>
      <bottom style="medium">
        <color rgb="FF333333"/>
      </bottom>
      <diagonal/>
    </border>
    <border>
      <left style="medium">
        <color rgb="FF333333"/>
      </left>
      <right style="medium">
        <color rgb="FF333333"/>
      </right>
      <top style="medium">
        <color rgb="FF333333"/>
      </top>
      <bottom style="medium">
        <color rgb="FF333333"/>
      </bottom>
      <diagonal/>
    </border>
    <border>
      <left style="medium">
        <color rgb="FF333333"/>
      </left>
      <right/>
      <top style="medium">
        <color rgb="FF333333"/>
      </top>
      <bottom/>
      <diagonal/>
    </border>
    <border>
      <left/>
      <right/>
      <top style="medium">
        <color rgb="FF333333"/>
      </top>
      <bottom/>
      <diagonal/>
    </border>
    <border>
      <left/>
      <right style="medium">
        <color rgb="FF333333"/>
      </right>
      <top style="medium">
        <color rgb="FF333333"/>
      </top>
      <bottom/>
      <diagonal/>
    </border>
    <border>
      <left style="medium">
        <color rgb="FF333333"/>
      </left>
      <right style="medium">
        <color rgb="FF333333"/>
      </right>
      <top style="medium">
        <color rgb="FF333333"/>
      </top>
      <bottom/>
      <diagonal/>
    </border>
    <border>
      <left style="medium">
        <color rgb="FF333333"/>
      </left>
      <right/>
      <top style="medium">
        <color rgb="FF333333"/>
      </top>
      <bottom style="medium">
        <color auto="1"/>
      </bottom>
      <diagonal/>
    </border>
    <border>
      <left/>
      <right/>
      <top style="medium">
        <color rgb="FF333333"/>
      </top>
      <bottom style="medium">
        <color auto="1"/>
      </bottom>
      <diagonal/>
    </border>
    <border>
      <left style="medium">
        <color rgb="FF333333"/>
      </left>
      <right/>
      <top style="medium">
        <color auto="1"/>
      </top>
      <bottom style="medium">
        <color rgb="FF333333"/>
      </bottom>
      <diagonal/>
    </border>
    <border>
      <left/>
      <right/>
      <top style="medium">
        <color auto="1"/>
      </top>
      <bottom style="medium">
        <color rgb="FF333333"/>
      </bottom>
      <diagonal/>
    </border>
    <border>
      <left/>
      <right style="medium">
        <color rgb="FF333333"/>
      </right>
      <top style="medium">
        <color auto="1"/>
      </top>
      <bottom style="medium">
        <color rgb="FF333333"/>
      </bottom>
      <diagonal/>
    </border>
    <border>
      <left style="medium">
        <color rgb="FF333333"/>
      </left>
      <right/>
      <top/>
      <bottom style="medium">
        <color rgb="FF333333"/>
      </bottom>
      <diagonal/>
    </border>
    <border>
      <left/>
      <right/>
      <top/>
      <bottom style="medium">
        <color rgb="FF333333"/>
      </bottom>
      <diagonal/>
    </border>
    <border>
      <left style="medium">
        <color rgb="FF333333"/>
      </left>
      <right style="medium">
        <color rgb="FF333333"/>
      </right>
      <top/>
      <bottom style="medium">
        <color rgb="FF333333"/>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rgb="FF333333"/>
      </left>
      <right style="medium">
        <color rgb="FF333333"/>
      </right>
      <top/>
      <bottom/>
      <diagonal/>
    </border>
    <border>
      <left style="medium">
        <color auto="1"/>
      </left>
      <right/>
      <top/>
      <bottom style="medium">
        <color auto="1"/>
      </bottom>
      <diagonal/>
    </border>
    <border>
      <left/>
      <right/>
      <top style="thin">
        <color indexed="64"/>
      </top>
      <bottom/>
      <diagonal/>
    </border>
    <border>
      <left style="thin">
        <color indexed="64"/>
      </left>
      <right/>
      <top style="thin">
        <color indexed="64"/>
      </top>
      <bottom/>
      <diagonal/>
    </border>
    <border>
      <left style="thin">
        <color indexed="64"/>
      </left>
      <right style="medium">
        <color auto="1"/>
      </right>
      <top style="thin">
        <color auto="1"/>
      </top>
      <bottom/>
      <diagonal/>
    </border>
    <border>
      <left style="thin">
        <color indexed="64"/>
      </left>
      <right style="medium">
        <color auto="1"/>
      </right>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rgb="FF333333"/>
      </left>
      <right style="medium">
        <color rgb="FF333333"/>
      </right>
      <top style="medium">
        <color auto="1"/>
      </top>
      <bottom/>
      <diagonal/>
    </border>
    <border>
      <left style="medium">
        <color rgb="FF333333"/>
      </left>
      <right style="medium">
        <color auto="1"/>
      </right>
      <top style="medium">
        <color rgb="FF333333"/>
      </top>
      <bottom/>
      <diagonal/>
    </border>
    <border>
      <left style="medium">
        <color rgb="FF333333"/>
      </left>
      <right style="medium">
        <color auto="1"/>
      </right>
      <top/>
      <bottom/>
      <diagonal/>
    </border>
    <border>
      <left style="medium">
        <color rgb="FF333333"/>
      </left>
      <right style="medium">
        <color auto="1"/>
      </right>
      <top/>
      <bottom style="medium">
        <color rgb="FF333333"/>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rgb="FF333333"/>
      </bottom>
      <diagonal/>
    </border>
    <border>
      <left/>
      <right style="medium">
        <color auto="1"/>
      </right>
      <top/>
      <bottom/>
      <diagonal/>
    </border>
    <border>
      <left style="medium">
        <color indexed="64"/>
      </left>
      <right style="medium">
        <color indexed="64"/>
      </right>
      <top style="medium">
        <color indexed="64"/>
      </top>
      <bottom/>
      <diagonal/>
    </border>
    <border>
      <left style="medium">
        <color indexed="64"/>
      </left>
      <right style="thin">
        <color auto="1"/>
      </right>
      <top style="thin">
        <color indexed="64"/>
      </top>
      <bottom style="medium">
        <color indexed="64"/>
      </bottom>
      <diagonal/>
    </border>
    <border>
      <left style="thin">
        <color auto="1"/>
      </left>
      <right style="thin">
        <color auto="1"/>
      </right>
      <top style="thin">
        <color indexed="64"/>
      </top>
      <bottom style="medium">
        <color indexed="64"/>
      </bottom>
      <diagonal/>
    </border>
    <border>
      <left style="thin">
        <color auto="1"/>
      </left>
      <right style="medium">
        <color indexed="64"/>
      </right>
      <top style="thin">
        <color indexed="64"/>
      </top>
      <bottom style="medium">
        <color indexed="64"/>
      </bottom>
      <diagonal/>
    </border>
    <border>
      <left style="medium">
        <color auto="1"/>
      </left>
      <right/>
      <top style="medium">
        <color auto="1"/>
      </top>
      <bottom style="thin">
        <color auto="1"/>
      </bottom>
      <diagonal/>
    </border>
    <border>
      <left style="medium">
        <color auto="1"/>
      </left>
      <right style="medium">
        <color auto="1"/>
      </right>
      <top style="medium">
        <color indexed="64"/>
      </top>
      <bottom style="thin">
        <color auto="1"/>
      </bottom>
      <diagonal/>
    </border>
    <border>
      <left/>
      <right style="thin">
        <color auto="1"/>
      </right>
      <top style="medium">
        <color indexed="64"/>
      </top>
      <bottom/>
      <diagonal/>
    </border>
    <border>
      <left style="thin">
        <color auto="1"/>
      </left>
      <right style="medium">
        <color indexed="64"/>
      </right>
      <top style="medium">
        <color indexed="64"/>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indexed="64"/>
      </left>
      <right/>
      <top style="thin">
        <color indexed="64"/>
      </top>
      <bottom style="thin">
        <color indexed="64"/>
      </bottom>
      <diagonal/>
    </border>
    <border>
      <left style="medium">
        <color auto="1"/>
      </left>
      <right style="medium">
        <color auto="1"/>
      </right>
      <top style="thin">
        <color auto="1"/>
      </top>
      <bottom style="thin">
        <color auto="1"/>
      </bottom>
      <diagonal/>
    </border>
    <border>
      <left style="medium">
        <color auto="1"/>
      </left>
      <right style="medium">
        <color auto="1"/>
      </right>
      <top/>
      <bottom/>
      <diagonal/>
    </border>
    <border>
      <left style="thin">
        <color auto="1"/>
      </left>
      <right style="medium">
        <color indexed="64"/>
      </right>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medium">
        <color auto="1"/>
      </right>
      <top style="thin">
        <color auto="1"/>
      </top>
      <bottom/>
      <diagonal/>
    </border>
    <border>
      <left style="thin">
        <color auto="1"/>
      </left>
      <right/>
      <top style="medium">
        <color auto="1"/>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bottom style="medium">
        <color auto="1"/>
      </bottom>
      <diagonal/>
    </border>
    <border>
      <left style="medium">
        <color auto="1"/>
      </left>
      <right style="thin">
        <color auto="1"/>
      </right>
      <top/>
      <bottom style="medium">
        <color indexed="64"/>
      </bottom>
      <diagonal/>
    </border>
    <border>
      <left/>
      <right/>
      <top style="thin">
        <color auto="1"/>
      </top>
      <bottom style="medium">
        <color indexed="64"/>
      </bottom>
      <diagonal/>
    </border>
    <border>
      <left style="medium">
        <color auto="1"/>
      </left>
      <right/>
      <top style="thin">
        <color auto="1"/>
      </top>
      <bottom style="medium">
        <color indexed="64"/>
      </bottom>
      <diagonal/>
    </border>
    <border>
      <left/>
      <right style="thin">
        <color auto="1"/>
      </right>
      <top/>
      <bottom style="medium">
        <color indexed="64"/>
      </bottom>
      <diagonal/>
    </border>
    <border>
      <left/>
      <right style="medium">
        <color auto="1"/>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auto="1"/>
      </right>
      <top/>
      <bottom style="thin">
        <color auto="1"/>
      </bottom>
      <diagonal/>
    </border>
    <border>
      <left/>
      <right style="medium">
        <color auto="1"/>
      </right>
      <top/>
      <bottom style="medium">
        <color auto="1"/>
      </bottom>
      <diagonal/>
    </border>
    <border>
      <left/>
      <right/>
      <top/>
      <bottom style="double">
        <color indexed="64"/>
      </bottom>
      <diagonal/>
    </border>
    <border>
      <left/>
      <right/>
      <top style="double">
        <color indexed="64"/>
      </top>
      <bottom/>
      <diagonal/>
    </border>
    <border>
      <left style="double">
        <color indexed="64"/>
      </left>
      <right/>
      <top/>
      <bottom/>
      <diagonal/>
    </border>
    <border>
      <left style="double">
        <color indexed="64"/>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style="double">
        <color indexed="64"/>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style="double">
        <color indexed="64"/>
      </right>
      <top style="thin">
        <color indexed="64"/>
      </top>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thin">
        <color indexed="64"/>
      </left>
      <right style="double">
        <color indexed="64"/>
      </right>
      <top style="double">
        <color indexed="64"/>
      </top>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bottom style="thin">
        <color indexed="64"/>
      </bottom>
      <diagonal/>
    </border>
    <border>
      <left style="double">
        <color indexed="64"/>
      </left>
      <right/>
      <top style="thin">
        <color indexed="64"/>
      </top>
      <bottom style="thin">
        <color indexed="64"/>
      </bottom>
      <diagonal/>
    </border>
    <border>
      <left style="double">
        <color indexed="64"/>
      </left>
      <right style="thin">
        <color indexed="64"/>
      </right>
      <top style="thin">
        <color indexed="64"/>
      </top>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bottom/>
      <diagonal/>
    </border>
    <border>
      <left style="double">
        <color indexed="64"/>
      </left>
      <right style="thin">
        <color indexed="64"/>
      </right>
      <top/>
      <bottom style="double">
        <color indexed="64"/>
      </bottom>
      <diagonal/>
    </border>
    <border>
      <left style="thin">
        <color indexed="64"/>
      </left>
      <right/>
      <top style="double">
        <color indexed="64"/>
      </top>
      <bottom style="thin">
        <color indexed="64"/>
      </bottom>
      <diagonal/>
    </border>
    <border>
      <left style="thin">
        <color indexed="64"/>
      </left>
      <right/>
      <top style="thin">
        <color indexed="64"/>
      </top>
      <bottom style="double">
        <color indexed="64"/>
      </bottom>
      <diagonal/>
    </border>
    <border>
      <left style="double">
        <color indexed="64"/>
      </left>
      <right/>
      <top/>
      <bottom style="thin">
        <color indexed="64"/>
      </bottom>
      <diagonal/>
    </border>
    <border>
      <left/>
      <right style="double">
        <color indexed="64"/>
      </right>
      <top/>
      <bottom style="thin">
        <color indexed="64"/>
      </bottom>
      <diagonal/>
    </border>
    <border>
      <left style="thin">
        <color indexed="64"/>
      </left>
      <right style="thin">
        <color indexed="64"/>
      </right>
      <top style="double">
        <color indexed="64"/>
      </top>
      <bottom/>
      <diagonal/>
    </border>
    <border>
      <left style="thin">
        <color indexed="64"/>
      </left>
      <right style="double">
        <color indexed="64"/>
      </right>
      <top/>
      <bottom/>
      <diagonal/>
    </border>
  </borders>
  <cellStyleXfs count="11">
    <xf numFmtId="0" fontId="0" fillId="0" borderId="0"/>
    <xf numFmtId="9" fontId="1" fillId="0" borderId="0" applyFont="0" applyFill="0" applyBorder="0" applyAlignment="0" applyProtection="0"/>
    <xf numFmtId="0" fontId="5" fillId="0" borderId="0"/>
    <xf numFmtId="0" fontId="6" fillId="6" borderId="15" applyNumberFormat="0" applyAlignment="0" applyProtection="0"/>
    <xf numFmtId="0" fontId="1" fillId="0" borderId="0"/>
    <xf numFmtId="0" fontId="5" fillId="0" borderId="0"/>
    <xf numFmtId="0" fontId="1" fillId="0" borderId="0"/>
    <xf numFmtId="43" fontId="1" fillId="0" borderId="0" applyFont="0" applyFill="0" applyBorder="0" applyAlignment="0" applyProtection="0"/>
    <xf numFmtId="0" fontId="1" fillId="0" borderId="0"/>
    <xf numFmtId="164" fontId="1" fillId="0" borderId="0" applyFont="0" applyFill="0" applyBorder="0" applyAlignment="0" applyProtection="0"/>
    <xf numFmtId="0" fontId="60" fillId="0" borderId="0" applyNumberFormat="0" applyFill="0" applyBorder="0" applyAlignment="0" applyProtection="0">
      <alignment vertical="top"/>
      <protection locked="0"/>
    </xf>
  </cellStyleXfs>
  <cellXfs count="860">
    <xf numFmtId="0" fontId="0" fillId="0" borderId="0" xfId="0"/>
    <xf numFmtId="0" fontId="0" fillId="0" borderId="1" xfId="0" applyBorder="1"/>
    <xf numFmtId="0" fontId="1" fillId="0" borderId="0" xfId="4" applyAlignment="1">
      <alignment wrapText="1"/>
    </xf>
    <xf numFmtId="0" fontId="5" fillId="0" borderId="0" xfId="5"/>
    <xf numFmtId="0" fontId="3" fillId="0" borderId="0" xfId="0" applyFont="1" applyAlignment="1">
      <alignment vertical="center" wrapText="1"/>
    </xf>
    <xf numFmtId="0" fontId="0" fillId="0" borderId="0" xfId="0" applyFont="1" applyAlignment="1">
      <alignment readingOrder="1"/>
    </xf>
    <xf numFmtId="0" fontId="0" fillId="0" borderId="0" xfId="0" applyFont="1"/>
    <xf numFmtId="0" fontId="2" fillId="0" borderId="0" xfId="4" applyFont="1" applyAlignment="1">
      <alignment wrapText="1"/>
    </xf>
    <xf numFmtId="0" fontId="1" fillId="0" borderId="0" xfId="6" applyFont="1"/>
    <xf numFmtId="0" fontId="9" fillId="0" borderId="0" xfId="6" applyFont="1"/>
    <xf numFmtId="0" fontId="1" fillId="2" borderId="1" xfId="6" applyFont="1" applyFill="1" applyBorder="1"/>
    <xf numFmtId="0" fontId="1" fillId="2" borderId="3" xfId="6" applyFont="1" applyFill="1" applyBorder="1"/>
    <xf numFmtId="0" fontId="10" fillId="0" borderId="0" xfId="6" applyFont="1" applyBorder="1" applyAlignment="1">
      <alignment horizontal="center" vertical="center" wrapText="1"/>
    </xf>
    <xf numFmtId="0" fontId="1" fillId="2" borderId="1" xfId="6" applyFont="1" applyFill="1" applyBorder="1" applyAlignment="1">
      <alignment horizontal="center"/>
    </xf>
    <xf numFmtId="0" fontId="11" fillId="0" borderId="0" xfId="5" applyFont="1"/>
    <xf numFmtId="0" fontId="11" fillId="0" borderId="1" xfId="5" applyFont="1" applyBorder="1"/>
    <xf numFmtId="0" fontId="1" fillId="0" borderId="1" xfId="6" applyFont="1" applyBorder="1"/>
    <xf numFmtId="0" fontId="1" fillId="2" borderId="1" xfId="6" applyFont="1" applyFill="1" applyBorder="1" applyAlignment="1">
      <alignment horizontal="center" vertical="center"/>
    </xf>
    <xf numFmtId="0" fontId="1" fillId="0" borderId="0" xfId="6" applyFont="1" applyFill="1" applyBorder="1"/>
    <xf numFmtId="0" fontId="11" fillId="0" borderId="0" xfId="5" applyFont="1" applyFill="1" applyBorder="1"/>
    <xf numFmtId="0" fontId="1" fillId="0" borderId="0" xfId="6" applyFont="1" applyFill="1"/>
    <xf numFmtId="0" fontId="1" fillId="0" borderId="1" xfId="6" applyFont="1" applyFill="1" applyBorder="1" applyAlignment="1">
      <alignment horizontal="center"/>
    </xf>
    <xf numFmtId="0" fontId="1" fillId="2" borderId="1" xfId="6" applyFont="1" applyFill="1" applyBorder="1" applyAlignment="1">
      <alignment horizontal="center" vertical="top" wrapText="1"/>
    </xf>
    <xf numFmtId="0" fontId="0" fillId="0" borderId="1" xfId="6" applyFont="1" applyBorder="1"/>
    <xf numFmtId="0" fontId="13" fillId="3" borderId="1" xfId="0" applyFont="1" applyFill="1" applyBorder="1" applyAlignment="1">
      <alignment vertical="center" wrapText="1"/>
    </xf>
    <xf numFmtId="14" fontId="14" fillId="3" borderId="1" xfId="0" applyNumberFormat="1" applyFont="1" applyFill="1" applyBorder="1" applyAlignment="1">
      <alignment horizontal="left"/>
    </xf>
    <xf numFmtId="14" fontId="14" fillId="3" borderId="6" xfId="0" applyNumberFormat="1" applyFont="1" applyFill="1" applyBorder="1" applyAlignment="1">
      <alignment horizontal="left"/>
    </xf>
    <xf numFmtId="14" fontId="14" fillId="3" borderId="6" xfId="0" applyNumberFormat="1" applyFont="1" applyFill="1" applyBorder="1"/>
    <xf numFmtId="0" fontId="7" fillId="3" borderId="46" xfId="0" applyFont="1" applyFill="1" applyBorder="1" applyAlignment="1">
      <alignment horizontal="center"/>
    </xf>
    <xf numFmtId="0" fontId="0" fillId="0" borderId="48" xfId="0" applyBorder="1"/>
    <xf numFmtId="0" fontId="0" fillId="0" borderId="2" xfId="0" applyBorder="1"/>
    <xf numFmtId="0" fontId="0" fillId="0" borderId="0" xfId="0" applyBorder="1"/>
    <xf numFmtId="0" fontId="0" fillId="2" borderId="1" xfId="6" applyFont="1" applyFill="1" applyBorder="1" applyAlignment="1">
      <alignment horizontal="center"/>
    </xf>
    <xf numFmtId="0" fontId="7" fillId="3" borderId="0" xfId="0" applyFont="1" applyFill="1" applyBorder="1" applyAlignment="1">
      <alignment horizontal="center"/>
    </xf>
    <xf numFmtId="1" fontId="2" fillId="3" borderId="0" xfId="0" applyNumberFormat="1" applyFont="1" applyFill="1" applyBorder="1" applyAlignment="1">
      <alignment horizontal="center"/>
    </xf>
    <xf numFmtId="1" fontId="19" fillId="3" borderId="46" xfId="0" applyNumberFormat="1" applyFont="1" applyFill="1" applyBorder="1" applyAlignment="1"/>
    <xf numFmtId="0" fontId="17" fillId="0" borderId="0" xfId="0" applyFont="1" applyBorder="1" applyAlignment="1">
      <alignment horizontal="center" vertical="center"/>
    </xf>
    <xf numFmtId="0" fontId="0" fillId="0" borderId="46" xfId="0" applyBorder="1"/>
    <xf numFmtId="0" fontId="0" fillId="0" borderId="0" xfId="0" applyFill="1"/>
    <xf numFmtId="0" fontId="21" fillId="7" borderId="34" xfId="0" applyFont="1" applyFill="1" applyBorder="1" applyAlignment="1">
      <alignment vertical="center" wrapText="1" readingOrder="1"/>
    </xf>
    <xf numFmtId="0" fontId="21" fillId="7" borderId="24" xfId="0" applyFont="1" applyFill="1" applyBorder="1" applyAlignment="1">
      <alignment vertical="top" wrapText="1" readingOrder="1"/>
    </xf>
    <xf numFmtId="0" fontId="21" fillId="2" borderId="28" xfId="0" applyFont="1" applyFill="1" applyBorder="1" applyAlignment="1">
      <alignment vertical="top" wrapText="1" readingOrder="1"/>
    </xf>
    <xf numFmtId="0" fontId="21" fillId="7" borderId="28" xfId="0" applyFont="1" applyFill="1" applyBorder="1" applyAlignment="1">
      <alignment vertical="top" wrapText="1" readingOrder="1"/>
    </xf>
    <xf numFmtId="0" fontId="21" fillId="7" borderId="50" xfId="0" applyFont="1" applyFill="1" applyBorder="1" applyAlignment="1">
      <alignment vertical="top" wrapText="1" readingOrder="1"/>
    </xf>
    <xf numFmtId="0" fontId="21" fillId="7" borderId="49" xfId="0" applyFont="1" applyFill="1" applyBorder="1" applyAlignment="1">
      <alignment vertical="top" wrapText="1" readingOrder="1"/>
    </xf>
    <xf numFmtId="0" fontId="21" fillId="7" borderId="36" xfId="0" applyFont="1" applyFill="1" applyBorder="1" applyAlignment="1">
      <alignment vertical="top" wrapText="1" readingOrder="1"/>
    </xf>
    <xf numFmtId="0" fontId="4" fillId="0" borderId="0" xfId="0" applyFont="1" applyAlignment="1">
      <alignment readingOrder="1"/>
    </xf>
    <xf numFmtId="0" fontId="21" fillId="7" borderId="22" xfId="0" applyFont="1" applyFill="1" applyBorder="1" applyAlignment="1">
      <alignment vertical="top" wrapText="1" readingOrder="1"/>
    </xf>
    <xf numFmtId="0" fontId="22" fillId="0" borderId="0" xfId="0" applyFont="1" applyAlignment="1">
      <alignment vertical="top" readingOrder="1"/>
    </xf>
    <xf numFmtId="3" fontId="22" fillId="0" borderId="37" xfId="0" applyNumberFormat="1" applyFont="1" applyBorder="1" applyAlignment="1">
      <alignment vertical="center" wrapText="1" readingOrder="1"/>
    </xf>
    <xf numFmtId="166" fontId="22" fillId="0" borderId="49" xfId="0" applyNumberFormat="1" applyFont="1" applyBorder="1" applyAlignment="1">
      <alignment vertical="center" wrapText="1" readingOrder="1"/>
    </xf>
    <xf numFmtId="0" fontId="10" fillId="0" borderId="0" xfId="0" applyFont="1"/>
    <xf numFmtId="0" fontId="10" fillId="0" borderId="0" xfId="0" applyFont="1" applyBorder="1"/>
    <xf numFmtId="0" fontId="27" fillId="2" borderId="1" xfId="3" applyFont="1" applyFill="1" applyBorder="1" applyAlignment="1">
      <alignment horizontal="left" vertical="center" wrapText="1"/>
    </xf>
    <xf numFmtId="0" fontId="27" fillId="0" borderId="1" xfId="0" applyFont="1" applyBorder="1" applyAlignment="1">
      <alignment horizontal="center" vertical="center" wrapText="1"/>
    </xf>
    <xf numFmtId="0" fontId="27" fillId="2" borderId="1" xfId="3" applyFont="1" applyFill="1" applyBorder="1" applyAlignment="1">
      <alignment vertical="center" wrapText="1"/>
    </xf>
    <xf numFmtId="0" fontId="10" fillId="0" borderId="1" xfId="0" applyFont="1" applyBorder="1" applyAlignment="1">
      <alignment horizontal="center" vertical="center" wrapText="1"/>
    </xf>
    <xf numFmtId="0" fontId="10" fillId="0" borderId="1" xfId="0" applyFont="1" applyBorder="1" applyAlignment="1">
      <alignment vertical="center" wrapText="1"/>
    </xf>
    <xf numFmtId="0" fontId="10" fillId="0" borderId="1" xfId="0" applyFont="1" applyBorder="1" applyAlignment="1">
      <alignment horizontal="left" vertical="center"/>
    </xf>
    <xf numFmtId="0" fontId="10" fillId="0" borderId="0" xfId="0" applyFont="1" applyAlignment="1">
      <alignment horizontal="center"/>
    </xf>
    <xf numFmtId="0" fontId="8" fillId="0" borderId="0" xfId="0" applyFont="1"/>
    <xf numFmtId="9" fontId="2" fillId="3" borderId="6" xfId="0" applyNumberFormat="1" applyFont="1" applyFill="1" applyBorder="1" applyAlignment="1">
      <alignment horizontal="center"/>
    </xf>
    <xf numFmtId="9" fontId="2" fillId="3" borderId="1" xfId="0" applyNumberFormat="1" applyFont="1" applyFill="1" applyBorder="1" applyAlignment="1">
      <alignment horizontal="center"/>
    </xf>
    <xf numFmtId="0" fontId="35" fillId="5" borderId="17" xfId="0" applyFont="1" applyFill="1" applyBorder="1" applyAlignment="1" applyProtection="1">
      <alignment horizontal="center"/>
      <protection locked="0"/>
    </xf>
    <xf numFmtId="0" fontId="35" fillId="5" borderId="20" xfId="0" applyFont="1" applyFill="1" applyBorder="1" applyAlignment="1" applyProtection="1">
      <alignment horizontal="center"/>
      <protection locked="0"/>
    </xf>
    <xf numFmtId="9" fontId="3" fillId="0" borderId="1" xfId="1" applyFont="1" applyBorder="1" applyAlignment="1" applyProtection="1">
      <alignment horizontal="center" vertical="center"/>
      <protection locked="0"/>
    </xf>
    <xf numFmtId="9" fontId="3" fillId="0" borderId="21" xfId="0" applyNumberFormat="1" applyFont="1" applyBorder="1" applyAlignment="1" applyProtection="1">
      <alignment horizontal="center" vertical="center"/>
      <protection locked="0"/>
    </xf>
    <xf numFmtId="9" fontId="3" fillId="0" borderId="21" xfId="0" applyNumberFormat="1" applyFont="1" applyBorder="1" applyAlignment="1" applyProtection="1">
      <alignment horizontal="center" vertical="center" wrapText="1"/>
      <protection locked="0"/>
    </xf>
    <xf numFmtId="10" fontId="3" fillId="13" borderId="1" xfId="0" applyNumberFormat="1" applyFont="1" applyFill="1" applyBorder="1" applyAlignment="1" applyProtection="1">
      <alignment horizontal="center"/>
      <protection locked="0"/>
    </xf>
    <xf numFmtId="0" fontId="37" fillId="5" borderId="19" xfId="0" applyFont="1" applyFill="1" applyBorder="1" applyAlignment="1" applyProtection="1">
      <alignment horizontal="center"/>
      <protection locked="0"/>
    </xf>
    <xf numFmtId="0" fontId="38" fillId="0" borderId="0" xfId="0" applyFont="1"/>
    <xf numFmtId="9" fontId="33" fillId="0" borderId="21" xfId="0" applyNumberFormat="1" applyFont="1" applyBorder="1" applyAlignment="1" applyProtection="1">
      <alignment horizontal="center" vertical="center"/>
      <protection locked="0"/>
    </xf>
    <xf numFmtId="168" fontId="14" fillId="3" borderId="6" xfId="0" applyNumberFormat="1" applyFont="1" applyFill="1" applyBorder="1"/>
    <xf numFmtId="9" fontId="2" fillId="3" borderId="6" xfId="1" applyFont="1" applyFill="1" applyBorder="1" applyAlignment="1">
      <alignment horizontal="center"/>
    </xf>
    <xf numFmtId="1" fontId="25" fillId="3" borderId="46" xfId="0" applyNumberFormat="1" applyFont="1" applyFill="1" applyBorder="1" applyAlignment="1">
      <alignment vertical="center"/>
    </xf>
    <xf numFmtId="0" fontId="21" fillId="0" borderId="0" xfId="0" applyFont="1"/>
    <xf numFmtId="0" fontId="40" fillId="0" borderId="0" xfId="0" applyFont="1" applyAlignment="1">
      <alignment vertical="center"/>
    </xf>
    <xf numFmtId="0" fontId="42" fillId="0" borderId="7" xfId="0" applyFont="1" applyBorder="1" applyAlignment="1">
      <alignment vertical="center"/>
    </xf>
    <xf numFmtId="0" fontId="43" fillId="16" borderId="1" xfId="0" applyFont="1" applyFill="1" applyBorder="1" applyAlignment="1">
      <alignment vertical="center"/>
    </xf>
    <xf numFmtId="0" fontId="43" fillId="0" borderId="0" xfId="0" applyFont="1" applyAlignment="1">
      <alignment vertical="center"/>
    </xf>
    <xf numFmtId="170" fontId="44" fillId="17" borderId="12" xfId="0" applyNumberFormat="1" applyFont="1" applyFill="1" applyBorder="1" applyAlignment="1">
      <alignment horizontal="center" vertical="center" textRotation="90" wrapText="1"/>
    </xf>
    <xf numFmtId="170" fontId="44" fillId="17" borderId="3" xfId="0" applyNumberFormat="1" applyFont="1" applyFill="1" applyBorder="1" applyAlignment="1">
      <alignment horizontal="center" vertical="center" textRotation="90" wrapText="1"/>
    </xf>
    <xf numFmtId="170" fontId="44" fillId="17" borderId="44" xfId="0" applyNumberFormat="1" applyFont="1" applyFill="1" applyBorder="1" applyAlignment="1">
      <alignment horizontal="center" vertical="center" textRotation="90" wrapText="1"/>
    </xf>
    <xf numFmtId="170" fontId="44" fillId="17" borderId="59" xfId="0" applyNumberFormat="1" applyFont="1" applyFill="1" applyBorder="1" applyAlignment="1">
      <alignment horizontal="center" vertical="center" textRotation="90" wrapText="1"/>
    </xf>
    <xf numFmtId="170" fontId="44" fillId="17" borderId="60" xfId="0" applyNumberFormat="1" applyFont="1" applyFill="1" applyBorder="1" applyAlignment="1">
      <alignment horizontal="center" vertical="center" textRotation="90" wrapText="1"/>
    </xf>
    <xf numFmtId="170" fontId="44" fillId="17" borderId="61" xfId="0" applyNumberFormat="1" applyFont="1" applyFill="1" applyBorder="1" applyAlignment="1">
      <alignment horizontal="center" vertical="center" textRotation="90" wrapText="1"/>
    </xf>
    <xf numFmtId="170" fontId="44" fillId="17" borderId="72" xfId="0" applyNumberFormat="1" applyFont="1" applyFill="1" applyBorder="1" applyAlignment="1">
      <alignment horizontal="center" vertical="center" textRotation="90" wrapText="1"/>
    </xf>
    <xf numFmtId="170" fontId="44" fillId="17" borderId="73" xfId="0" applyNumberFormat="1" applyFont="1" applyFill="1" applyBorder="1" applyAlignment="1">
      <alignment horizontal="center" vertical="center" textRotation="90" wrapText="1"/>
    </xf>
    <xf numFmtId="0" fontId="45" fillId="0" borderId="7" xfId="0" applyFont="1" applyBorder="1" applyAlignment="1">
      <alignment vertical="center" wrapText="1"/>
    </xf>
    <xf numFmtId="0" fontId="5" fillId="14" borderId="1" xfId="0" applyFont="1" applyFill="1" applyBorder="1" applyAlignment="1">
      <alignment vertical="center" wrapText="1"/>
    </xf>
    <xf numFmtId="0" fontId="5" fillId="0" borderId="0" xfId="0" applyFont="1" applyAlignment="1">
      <alignment vertical="center" wrapText="1"/>
    </xf>
    <xf numFmtId="9" fontId="42" fillId="12" borderId="66" xfId="8" applyNumberFormat="1" applyFont="1" applyFill="1" applyBorder="1" applyAlignment="1">
      <alignment horizontal="center" vertical="center" wrapText="1"/>
    </xf>
    <xf numFmtId="9" fontId="42" fillId="18" borderId="79" xfId="8" applyNumberFormat="1" applyFont="1" applyFill="1" applyBorder="1" applyAlignment="1">
      <alignment horizontal="center" vertical="center" wrapText="1"/>
    </xf>
    <xf numFmtId="1" fontId="40" fillId="0" borderId="80" xfId="0" applyNumberFormat="1" applyFont="1" applyBorder="1" applyAlignment="1">
      <alignment horizontal="center" vertical="center"/>
    </xf>
    <xf numFmtId="1" fontId="40" fillId="0" borderId="73" xfId="0" applyNumberFormat="1" applyFont="1" applyBorder="1" applyAlignment="1">
      <alignment horizontal="center" vertical="center"/>
    </xf>
    <xf numFmtId="1" fontId="40" fillId="0" borderId="61" xfId="0" applyNumberFormat="1" applyFont="1" applyBorder="1" applyAlignment="1">
      <alignment horizontal="center" vertical="center"/>
    </xf>
    <xf numFmtId="1" fontId="40" fillId="0" borderId="59" xfId="0" applyNumberFormat="1" applyFont="1" applyBorder="1" applyAlignment="1">
      <alignment horizontal="center" vertical="center"/>
    </xf>
    <xf numFmtId="1" fontId="40" fillId="0" borderId="60" xfId="0" applyNumberFormat="1" applyFont="1" applyBorder="1" applyAlignment="1">
      <alignment horizontal="center" vertical="center"/>
    </xf>
    <xf numFmtId="1" fontId="40" fillId="0" borderId="3" xfId="0" applyNumberFormat="1" applyFont="1" applyBorder="1" applyAlignment="1">
      <alignment horizontal="center" vertical="center"/>
    </xf>
    <xf numFmtId="1" fontId="40" fillId="0" borderId="44" xfId="0" applyNumberFormat="1" applyFont="1" applyBorder="1" applyAlignment="1">
      <alignment horizontal="center" vertical="center"/>
    </xf>
    <xf numFmtId="1" fontId="40" fillId="8" borderId="14" xfId="0" applyNumberFormat="1" applyFont="1" applyFill="1" applyBorder="1" applyAlignment="1">
      <alignment horizontal="center" vertical="center"/>
    </xf>
    <xf numFmtId="1" fontId="40" fillId="8" borderId="6" xfId="0" applyNumberFormat="1" applyFont="1" applyFill="1" applyBorder="1" applyAlignment="1">
      <alignment horizontal="center" vertical="center"/>
    </xf>
    <xf numFmtId="1" fontId="40" fillId="8" borderId="45" xfId="0" applyNumberFormat="1" applyFont="1" applyFill="1" applyBorder="1" applyAlignment="1">
      <alignment horizontal="center" vertical="center"/>
    </xf>
    <xf numFmtId="1" fontId="40" fillId="8" borderId="19" xfId="0" applyNumberFormat="1" applyFont="1" applyFill="1" applyBorder="1" applyAlignment="1">
      <alignment horizontal="center" vertical="center"/>
    </xf>
    <xf numFmtId="1" fontId="40" fillId="8" borderId="17" xfId="0" applyNumberFormat="1" applyFont="1" applyFill="1" applyBorder="1" applyAlignment="1">
      <alignment horizontal="center" vertical="center"/>
    </xf>
    <xf numFmtId="1" fontId="40" fillId="8" borderId="20" xfId="0" applyNumberFormat="1" applyFont="1" applyFill="1" applyBorder="1" applyAlignment="1">
      <alignment horizontal="center" vertical="center"/>
    </xf>
    <xf numFmtId="1" fontId="40" fillId="8" borderId="75" xfId="0" applyNumberFormat="1" applyFont="1" applyFill="1" applyBorder="1" applyAlignment="1">
      <alignment horizontal="center" vertical="center"/>
    </xf>
    <xf numFmtId="0" fontId="40" fillId="0" borderId="0" xfId="0" applyFont="1" applyAlignment="1">
      <alignment horizontal="center" vertical="center"/>
    </xf>
    <xf numFmtId="9" fontId="42" fillId="12" borderId="48" xfId="8" applyNumberFormat="1" applyFont="1" applyFill="1" applyBorder="1" applyAlignment="1">
      <alignment horizontal="center" vertical="center" wrapText="1"/>
    </xf>
    <xf numFmtId="1" fontId="40" fillId="0" borderId="12" xfId="0" applyNumberFormat="1" applyFont="1" applyBorder="1" applyAlignment="1">
      <alignment horizontal="center" vertical="center"/>
    </xf>
    <xf numFmtId="0" fontId="40" fillId="0" borderId="1" xfId="0" applyFont="1" applyBorder="1" applyAlignment="1">
      <alignment vertical="center"/>
    </xf>
    <xf numFmtId="0" fontId="1" fillId="0" borderId="1" xfId="6" applyFont="1" applyBorder="1" applyProtection="1">
      <protection locked="0"/>
    </xf>
    <xf numFmtId="0" fontId="1" fillId="0" borderId="4" xfId="6" applyFont="1" applyFill="1" applyBorder="1" applyProtection="1">
      <protection locked="0"/>
    </xf>
    <xf numFmtId="1" fontId="40" fillId="0" borderId="6" xfId="0" applyNumberFormat="1" applyFont="1" applyFill="1" applyBorder="1" applyAlignment="1">
      <alignment horizontal="center" vertical="center"/>
    </xf>
    <xf numFmtId="1" fontId="40" fillId="0" borderId="45" xfId="0" applyNumberFormat="1" applyFont="1" applyFill="1" applyBorder="1" applyAlignment="1">
      <alignment horizontal="center" vertical="center"/>
    </xf>
    <xf numFmtId="1" fontId="40" fillId="0" borderId="19" xfId="0" applyNumberFormat="1" applyFont="1" applyFill="1" applyBorder="1" applyAlignment="1">
      <alignment horizontal="center" vertical="center"/>
    </xf>
    <xf numFmtId="1" fontId="40" fillId="0" borderId="17" xfId="0" applyNumberFormat="1" applyFont="1" applyFill="1" applyBorder="1" applyAlignment="1">
      <alignment horizontal="center" vertical="center"/>
    </xf>
    <xf numFmtId="1" fontId="40" fillId="0" borderId="20" xfId="0" applyNumberFormat="1" applyFont="1" applyFill="1" applyBorder="1" applyAlignment="1">
      <alignment horizontal="center" vertical="center"/>
    </xf>
    <xf numFmtId="1" fontId="40" fillId="0" borderId="75" xfId="0" applyNumberFormat="1" applyFont="1" applyFill="1" applyBorder="1" applyAlignment="1">
      <alignment horizontal="center" vertical="center"/>
    </xf>
    <xf numFmtId="0" fontId="46" fillId="0" borderId="1" xfId="4" applyFont="1" applyFill="1" applyBorder="1" applyAlignment="1">
      <alignment wrapText="1"/>
    </xf>
    <xf numFmtId="0" fontId="10" fillId="0" borderId="1" xfId="0" applyFont="1" applyFill="1" applyBorder="1" applyAlignment="1">
      <alignment wrapText="1"/>
    </xf>
    <xf numFmtId="14" fontId="5" fillId="11" borderId="1" xfId="7" applyNumberFormat="1" applyFont="1" applyFill="1" applyBorder="1" applyAlignment="1" applyProtection="1">
      <alignment vertical="center" wrapText="1"/>
      <protection locked="0"/>
    </xf>
    <xf numFmtId="0" fontId="10" fillId="2" borderId="1" xfId="6" applyFont="1" applyFill="1" applyBorder="1" applyAlignment="1">
      <alignment vertical="center" wrapText="1"/>
    </xf>
    <xf numFmtId="0" fontId="26" fillId="20" borderId="19" xfId="5" applyFont="1" applyFill="1" applyBorder="1" applyAlignment="1">
      <alignment horizontal="justify" vertical="top" wrapText="1"/>
    </xf>
    <xf numFmtId="0" fontId="26" fillId="20" borderId="10" xfId="5" applyFont="1" applyFill="1" applyBorder="1" applyAlignment="1">
      <alignment horizontal="justify" vertical="top" wrapText="1"/>
    </xf>
    <xf numFmtId="0" fontId="26" fillId="20" borderId="1" xfId="5" applyFont="1" applyFill="1" applyBorder="1" applyAlignment="1">
      <alignment horizontal="center" vertical="center" wrapText="1"/>
    </xf>
    <xf numFmtId="0" fontId="26" fillId="20" borderId="21" xfId="5" applyFont="1" applyFill="1" applyBorder="1" applyAlignment="1">
      <alignment horizontal="center" vertical="center" wrapText="1"/>
    </xf>
    <xf numFmtId="0" fontId="26" fillId="20" borderId="10" xfId="5" applyFont="1" applyFill="1" applyBorder="1" applyAlignment="1">
      <alignment vertical="top" wrapText="1"/>
    </xf>
    <xf numFmtId="2" fontId="27" fillId="0" borderId="1" xfId="5" applyNumberFormat="1" applyFont="1" applyFill="1" applyBorder="1" applyAlignment="1">
      <alignment horizontal="center" vertical="top" wrapText="1"/>
    </xf>
    <xf numFmtId="0" fontId="27" fillId="0" borderId="1" xfId="5" applyFont="1" applyFill="1" applyBorder="1" applyAlignment="1">
      <alignment vertical="top" wrapText="1"/>
    </xf>
    <xf numFmtId="0" fontId="26" fillId="20" borderId="18" xfId="5" applyFont="1" applyFill="1" applyBorder="1" applyAlignment="1">
      <alignment vertical="top" wrapText="1"/>
    </xf>
    <xf numFmtId="0" fontId="26" fillId="20" borderId="41" xfId="5" applyFont="1" applyFill="1" applyBorder="1" applyAlignment="1">
      <alignment vertical="top" wrapText="1"/>
    </xf>
    <xf numFmtId="9" fontId="27" fillId="0" borderId="1" xfId="1" applyFont="1" applyFill="1" applyBorder="1" applyAlignment="1">
      <alignment horizontal="center" vertical="top" wrapText="1"/>
    </xf>
    <xf numFmtId="0" fontId="24" fillId="0" borderId="1" xfId="5" applyFont="1" applyFill="1" applyBorder="1" applyAlignment="1">
      <alignment vertical="top" wrapText="1"/>
    </xf>
    <xf numFmtId="0" fontId="22" fillId="2" borderId="1" xfId="3" applyFont="1" applyFill="1" applyBorder="1" applyAlignment="1">
      <alignment vertical="center" wrapText="1"/>
    </xf>
    <xf numFmtId="0" fontId="22" fillId="0" borderId="1" xfId="0" applyFont="1" applyBorder="1" applyAlignment="1">
      <alignment horizontal="center" vertical="center" wrapText="1"/>
    </xf>
    <xf numFmtId="0" fontId="9" fillId="0" borderId="0" xfId="0" applyFont="1"/>
    <xf numFmtId="0" fontId="27" fillId="0" borderId="1" xfId="0" applyFont="1" applyFill="1" applyBorder="1" applyAlignment="1">
      <alignment horizontal="center" vertical="center" wrapText="1"/>
    </xf>
    <xf numFmtId="0" fontId="30" fillId="0" borderId="1" xfId="0" applyFont="1" applyFill="1" applyBorder="1" applyAlignment="1">
      <alignment horizontal="center" vertical="center" wrapText="1"/>
    </xf>
    <xf numFmtId="0" fontId="28" fillId="0" borderId="1" xfId="0" applyFont="1" applyFill="1" applyBorder="1" applyAlignment="1">
      <alignment vertical="center" wrapText="1"/>
    </xf>
    <xf numFmtId="0" fontId="22" fillId="11" borderId="38" xfId="0" applyFont="1" applyFill="1" applyBorder="1" applyAlignment="1">
      <alignment horizontal="left" vertical="center" wrapText="1" readingOrder="1"/>
    </xf>
    <xf numFmtId="0" fontId="22" fillId="11" borderId="39" xfId="0" applyFont="1" applyFill="1" applyBorder="1" applyAlignment="1">
      <alignment horizontal="left" vertical="center" wrapText="1" readingOrder="1"/>
    </xf>
    <xf numFmtId="0" fontId="25" fillId="2" borderId="1" xfId="0" applyFont="1" applyFill="1" applyBorder="1" applyAlignment="1">
      <alignment horizontal="center" vertical="center" wrapText="1"/>
    </xf>
    <xf numFmtId="0" fontId="10" fillId="0" borderId="0" xfId="0" applyFont="1"/>
    <xf numFmtId="165" fontId="27" fillId="3" borderId="1" xfId="0" applyNumberFormat="1" applyFont="1" applyFill="1" applyBorder="1" applyAlignment="1">
      <alignment horizontal="center" vertical="center" wrapText="1"/>
    </xf>
    <xf numFmtId="1" fontId="10" fillId="3" borderId="1" xfId="0" applyNumberFormat="1" applyFont="1" applyFill="1" applyBorder="1" applyAlignment="1">
      <alignment horizontal="center" vertical="center"/>
    </xf>
    <xf numFmtId="0" fontId="10" fillId="0" borderId="1" xfId="0" applyFont="1" applyBorder="1"/>
    <xf numFmtId="0" fontId="27" fillId="3" borderId="1" xfId="0" applyNumberFormat="1" applyFont="1" applyFill="1" applyBorder="1" applyAlignment="1">
      <alignment horizontal="left" vertical="center" wrapText="1"/>
    </xf>
    <xf numFmtId="0" fontId="27" fillId="3" borderId="1" xfId="0" applyFont="1" applyFill="1" applyBorder="1" applyAlignment="1">
      <alignment horizontal="left" vertical="center" wrapText="1"/>
    </xf>
    <xf numFmtId="0" fontId="33" fillId="0" borderId="1" xfId="0" applyFont="1" applyBorder="1" applyAlignment="1">
      <alignment horizontal="left" vertical="center" wrapText="1"/>
    </xf>
    <xf numFmtId="0" fontId="1" fillId="0" borderId="1" xfId="6" applyFont="1" applyBorder="1" applyAlignment="1" applyProtection="1">
      <alignment vertical="center" wrapText="1"/>
      <protection locked="0"/>
    </xf>
    <xf numFmtId="0" fontId="10" fillId="0" borderId="1" xfId="0" applyFont="1" applyFill="1" applyBorder="1" applyAlignment="1">
      <alignment vertical="center" wrapText="1"/>
    </xf>
    <xf numFmtId="0" fontId="0" fillId="0" borderId="1" xfId="0" applyBorder="1" applyAlignment="1">
      <alignment wrapText="1"/>
    </xf>
    <xf numFmtId="0" fontId="0" fillId="0" borderId="1" xfId="0" applyBorder="1" applyAlignment="1">
      <alignment horizontal="center" vertical="center"/>
    </xf>
    <xf numFmtId="17" fontId="0" fillId="0" borderId="1" xfId="0" applyNumberFormat="1" applyBorder="1" applyAlignment="1">
      <alignment horizontal="left" vertical="center"/>
    </xf>
    <xf numFmtId="17" fontId="0" fillId="0" borderId="1" xfId="0" applyNumberFormat="1" applyBorder="1" applyAlignment="1">
      <alignment horizontal="left"/>
    </xf>
    <xf numFmtId="17" fontId="0" fillId="0" borderId="1" xfId="0" applyNumberFormat="1" applyBorder="1" applyAlignment="1">
      <alignment horizontal="center" vertical="center"/>
    </xf>
    <xf numFmtId="0" fontId="0" fillId="0" borderId="1" xfId="0" applyFill="1" applyBorder="1"/>
    <xf numFmtId="0" fontId="10" fillId="0" borderId="1" xfId="0" applyFont="1" applyBorder="1" applyAlignment="1">
      <alignment wrapText="1"/>
    </xf>
    <xf numFmtId="0" fontId="51" fillId="0" borderId="1" xfId="0" applyFont="1" applyFill="1" applyBorder="1" applyAlignment="1">
      <alignment horizontal="justify" vertical="top"/>
    </xf>
    <xf numFmtId="0" fontId="42" fillId="5" borderId="74" xfId="8" applyFont="1" applyFill="1" applyBorder="1" applyAlignment="1">
      <alignment horizontal="left" vertical="center" wrapText="1"/>
    </xf>
    <xf numFmtId="0" fontId="42" fillId="5" borderId="77" xfId="8" applyFont="1" applyFill="1" applyBorder="1" applyAlignment="1">
      <alignment horizontal="left" vertical="center" wrapText="1"/>
    </xf>
    <xf numFmtId="0" fontId="40" fillId="0" borderId="76" xfId="0" applyFont="1" applyBorder="1" applyAlignment="1">
      <alignment horizontal="left" vertical="center" wrapText="1"/>
    </xf>
    <xf numFmtId="0" fontId="42" fillId="0" borderId="58" xfId="0" applyFont="1" applyBorder="1" applyAlignment="1">
      <alignment horizontal="left" vertical="top" wrapText="1"/>
    </xf>
    <xf numFmtId="0" fontId="42" fillId="0" borderId="77" xfId="0" applyFont="1" applyBorder="1" applyAlignment="1">
      <alignment horizontal="left" vertical="top" wrapText="1"/>
    </xf>
    <xf numFmtId="0" fontId="40" fillId="0" borderId="58" xfId="0" applyFont="1" applyBorder="1" applyAlignment="1">
      <alignment horizontal="left" vertical="center" wrapText="1"/>
    </xf>
    <xf numFmtId="0" fontId="40" fillId="0" borderId="77" xfId="0" applyFont="1" applyBorder="1" applyAlignment="1">
      <alignment horizontal="left" vertical="center" wrapText="1"/>
    </xf>
    <xf numFmtId="0" fontId="40" fillId="0" borderId="58" xfId="0" applyFont="1" applyBorder="1" applyAlignment="1">
      <alignment horizontal="left" vertical="center" wrapText="1" indent="2"/>
    </xf>
    <xf numFmtId="0" fontId="40" fillId="0" borderId="77" xfId="0" applyFont="1" applyBorder="1" applyAlignment="1">
      <alignment horizontal="left" vertical="center" wrapText="1" indent="2"/>
    </xf>
    <xf numFmtId="0" fontId="40" fillId="5" borderId="58" xfId="0" applyFont="1" applyFill="1" applyBorder="1" applyAlignment="1">
      <alignment horizontal="left" vertical="center" wrapText="1"/>
    </xf>
    <xf numFmtId="0" fontId="40" fillId="5" borderId="77" xfId="0" applyFont="1" applyFill="1" applyBorder="1" applyAlignment="1">
      <alignment horizontal="left" vertical="center" wrapText="1"/>
    </xf>
    <xf numFmtId="0" fontId="40" fillId="0" borderId="58" xfId="0" applyFont="1" applyBorder="1" applyAlignment="1">
      <alignment horizontal="left" vertical="center" wrapText="1" indent="1"/>
    </xf>
    <xf numFmtId="0" fontId="40" fillId="0" borderId="77" xfId="0" applyFont="1" applyBorder="1" applyAlignment="1">
      <alignment horizontal="left" vertical="center" wrapText="1" indent="1"/>
    </xf>
    <xf numFmtId="0" fontId="21" fillId="2" borderId="1" xfId="0" applyFont="1" applyFill="1" applyBorder="1" applyAlignment="1">
      <alignment horizontal="center" vertical="center" readingOrder="1"/>
    </xf>
    <xf numFmtId="9" fontId="10" fillId="3" borderId="0" xfId="1" applyFont="1" applyFill="1" applyBorder="1" applyAlignment="1">
      <alignment horizontal="center" vertical="center"/>
    </xf>
    <xf numFmtId="9" fontId="10" fillId="3" borderId="2" xfId="1" applyFont="1" applyFill="1" applyBorder="1" applyAlignment="1">
      <alignment horizontal="center" vertical="center"/>
    </xf>
    <xf numFmtId="0" fontId="20" fillId="3" borderId="46" xfId="0" applyFont="1" applyFill="1" applyBorder="1" applyAlignment="1">
      <alignment horizontal="center"/>
    </xf>
    <xf numFmtId="0" fontId="35" fillId="5" borderId="75" xfId="0" applyFont="1" applyFill="1" applyBorder="1" applyAlignment="1" applyProtection="1">
      <alignment horizontal="center"/>
      <protection locked="0"/>
    </xf>
    <xf numFmtId="0" fontId="40" fillId="0" borderId="9" xfId="0" applyFont="1" applyBorder="1" applyAlignment="1">
      <alignment vertical="center"/>
    </xf>
    <xf numFmtId="0" fontId="40" fillId="0" borderId="70" xfId="0" applyFont="1" applyBorder="1" applyAlignment="1">
      <alignment horizontal="left" vertical="center" wrapText="1"/>
    </xf>
    <xf numFmtId="0" fontId="42" fillId="0" borderId="1" xfId="0" applyFont="1" applyBorder="1" applyAlignment="1">
      <alignment horizontal="left" vertical="top" wrapText="1"/>
    </xf>
    <xf numFmtId="0" fontId="42" fillId="5" borderId="70" xfId="8" applyFont="1" applyFill="1" applyBorder="1" applyAlignment="1">
      <alignment horizontal="left" vertical="center" wrapText="1"/>
    </xf>
    <xf numFmtId="0" fontId="21" fillId="21" borderId="1" xfId="2" applyFont="1" applyFill="1" applyBorder="1" applyAlignment="1">
      <alignment horizontal="center" vertical="center" wrapText="1"/>
    </xf>
    <xf numFmtId="0" fontId="21" fillId="22" borderId="1" xfId="2" applyFont="1" applyFill="1" applyBorder="1" applyAlignment="1">
      <alignment horizontal="center" vertical="center" wrapText="1"/>
    </xf>
    <xf numFmtId="0" fontId="21" fillId="22" borderId="1" xfId="2" applyFont="1" applyFill="1" applyBorder="1" applyAlignment="1">
      <alignment horizontal="left" vertical="top" wrapText="1"/>
    </xf>
    <xf numFmtId="0" fontId="0" fillId="0" borderId="1" xfId="0" applyBorder="1" applyAlignment="1">
      <alignment horizontal="left" vertical="center"/>
    </xf>
    <xf numFmtId="0" fontId="0" fillId="0" borderId="1" xfId="0" applyBorder="1" applyAlignment="1">
      <alignment horizontal="left" vertical="center" wrapText="1"/>
    </xf>
    <xf numFmtId="17" fontId="0" fillId="0" borderId="1" xfId="0" applyNumberFormat="1" applyFill="1" applyBorder="1" applyAlignment="1">
      <alignment horizontal="left" vertical="center"/>
    </xf>
    <xf numFmtId="0" fontId="0" fillId="0" borderId="0" xfId="0" applyAlignment="1">
      <alignment horizontal="left" vertical="center"/>
    </xf>
    <xf numFmtId="14" fontId="5" fillId="11" borderId="60" xfId="7" applyNumberFormat="1" applyFont="1" applyFill="1" applyBorder="1" applyAlignment="1" applyProtection="1">
      <alignment vertical="center" wrapText="1"/>
      <protection locked="0"/>
    </xf>
    <xf numFmtId="0" fontId="10" fillId="5" borderId="1" xfId="0" applyFont="1" applyFill="1" applyBorder="1" applyAlignment="1">
      <alignment horizontal="left" vertical="center" wrapText="1"/>
    </xf>
    <xf numFmtId="0" fontId="10" fillId="8" borderId="1" xfId="0" applyFont="1" applyFill="1" applyBorder="1" applyAlignment="1">
      <alignment horizontal="left" vertical="center" wrapText="1"/>
    </xf>
    <xf numFmtId="0" fontId="10" fillId="8" borderId="3" xfId="0" applyFont="1" applyFill="1" applyBorder="1" applyAlignment="1">
      <alignment horizontal="left" vertical="center" wrapText="1"/>
    </xf>
    <xf numFmtId="0" fontId="33" fillId="5" borderId="20" xfId="0" applyFont="1" applyFill="1" applyBorder="1" applyAlignment="1" applyProtection="1">
      <alignment horizontal="center"/>
      <protection locked="0"/>
    </xf>
    <xf numFmtId="167" fontId="56" fillId="8" borderId="1" xfId="0" applyNumberFormat="1" applyFont="1" applyFill="1" applyBorder="1" applyAlignment="1" applyProtection="1">
      <alignment horizontal="center" vertical="center" wrapText="1"/>
      <protection locked="0"/>
    </xf>
    <xf numFmtId="0" fontId="56" fillId="8" borderId="1" xfId="0" applyFont="1" applyFill="1" applyBorder="1" applyAlignment="1" applyProtection="1">
      <alignment horizontal="center" vertical="center"/>
      <protection locked="0"/>
    </xf>
    <xf numFmtId="0" fontId="10" fillId="0" borderId="6" xfId="0" applyFont="1" applyBorder="1" applyAlignment="1">
      <alignment vertical="center" wrapText="1"/>
    </xf>
    <xf numFmtId="0" fontId="10" fillId="0" borderId="1" xfId="0" applyFont="1" applyFill="1" applyBorder="1" applyAlignment="1">
      <alignment horizontal="center" vertical="center"/>
    </xf>
    <xf numFmtId="0" fontId="24" fillId="3" borderId="4" xfId="0" applyFont="1" applyFill="1" applyBorder="1" applyAlignment="1">
      <alignment horizontal="center" vertical="center" wrapText="1"/>
    </xf>
    <xf numFmtId="0" fontId="10" fillId="0" borderId="42" xfId="0" applyFont="1" applyBorder="1" applyAlignment="1">
      <alignment horizontal="center"/>
    </xf>
    <xf numFmtId="0" fontId="33" fillId="0" borderId="10" xfId="0" applyFont="1" applyBorder="1" applyAlignment="1" applyProtection="1">
      <alignment horizontal="center" wrapText="1"/>
      <protection locked="0"/>
    </xf>
    <xf numFmtId="0" fontId="33" fillId="12" borderId="1" xfId="0" applyFont="1" applyFill="1" applyBorder="1" applyAlignment="1" applyProtection="1">
      <alignment horizontal="center"/>
      <protection locked="0"/>
    </xf>
    <xf numFmtId="0" fontId="10" fillId="0" borderId="0" xfId="0" applyFont="1" applyBorder="1" applyAlignment="1">
      <alignment horizontal="center"/>
    </xf>
    <xf numFmtId="0" fontId="0" fillId="0" borderId="0" xfId="0" applyAlignment="1">
      <alignment horizontal="left"/>
    </xf>
    <xf numFmtId="1" fontId="25" fillId="3" borderId="3" xfId="0" applyNumberFormat="1" applyFont="1" applyFill="1" applyBorder="1" applyAlignment="1">
      <alignment vertical="center"/>
    </xf>
    <xf numFmtId="1" fontId="25" fillId="3" borderId="4" xfId="0" applyNumberFormat="1" applyFont="1" applyFill="1" applyBorder="1" applyAlignment="1">
      <alignment vertical="center"/>
    </xf>
    <xf numFmtId="1" fontId="25" fillId="3" borderId="6" xfId="0" applyNumberFormat="1" applyFont="1" applyFill="1" applyBorder="1" applyAlignment="1">
      <alignment vertical="center"/>
    </xf>
    <xf numFmtId="9" fontId="10" fillId="3" borderId="43" xfId="1" applyFont="1" applyFill="1" applyBorder="1" applyAlignment="1">
      <alignment horizontal="center" vertical="center"/>
    </xf>
    <xf numFmtId="9" fontId="10" fillId="3" borderId="8" xfId="1" applyFont="1" applyFill="1" applyBorder="1" applyAlignment="1">
      <alignment horizontal="center" vertical="center"/>
    </xf>
    <xf numFmtId="9" fontId="10" fillId="3" borderId="46" xfId="1" applyFont="1" applyFill="1" applyBorder="1" applyAlignment="1">
      <alignment horizontal="center" vertical="center"/>
    </xf>
    <xf numFmtId="10" fontId="33" fillId="12" borderId="1" xfId="0" applyNumberFormat="1" applyFont="1" applyFill="1" applyBorder="1" applyAlignment="1" applyProtection="1">
      <alignment horizontal="center"/>
      <protection locked="0"/>
    </xf>
    <xf numFmtId="9" fontId="3" fillId="12" borderId="1" xfId="0" applyNumberFormat="1" applyFont="1" applyFill="1" applyBorder="1" applyAlignment="1" applyProtection="1">
      <alignment horizontal="center"/>
      <protection locked="0"/>
    </xf>
    <xf numFmtId="0" fontId="0" fillId="0" borderId="47" xfId="0" applyBorder="1"/>
    <xf numFmtId="0" fontId="0" fillId="0" borderId="5" xfId="0" applyBorder="1"/>
    <xf numFmtId="0" fontId="7" fillId="3" borderId="2" xfId="0" applyFont="1" applyFill="1" applyBorder="1" applyAlignment="1">
      <alignment horizontal="center"/>
    </xf>
    <xf numFmtId="0" fontId="0" fillId="0" borderId="0" xfId="0" applyAlignment="1"/>
    <xf numFmtId="0" fontId="1" fillId="0" borderId="97" xfId="6" applyFont="1" applyBorder="1" applyProtection="1">
      <protection locked="0"/>
    </xf>
    <xf numFmtId="0" fontId="1" fillId="0" borderId="7" xfId="6" applyFont="1" applyBorder="1" applyProtection="1">
      <protection locked="0"/>
    </xf>
    <xf numFmtId="0" fontId="0" fillId="0" borderId="97" xfId="6" applyFont="1" applyBorder="1" applyProtection="1">
      <protection locked="0"/>
    </xf>
    <xf numFmtId="0" fontId="0" fillId="0" borderId="97" xfId="6" applyFont="1" applyBorder="1" applyAlignment="1" applyProtection="1">
      <alignment wrapText="1"/>
      <protection locked="0"/>
    </xf>
    <xf numFmtId="9" fontId="11" fillId="0" borderId="1" xfId="1" applyFont="1" applyBorder="1"/>
    <xf numFmtId="0" fontId="1" fillId="2" borderId="7" xfId="6" applyFont="1" applyFill="1" applyBorder="1"/>
    <xf numFmtId="0" fontId="1" fillId="2" borderId="1" xfId="6" applyFont="1" applyFill="1" applyBorder="1" applyAlignment="1">
      <alignment horizontal="center" vertical="center" wrapText="1"/>
    </xf>
    <xf numFmtId="1" fontId="19" fillId="3" borderId="46" xfId="0" applyNumberFormat="1" applyFont="1" applyFill="1" applyBorder="1" applyAlignment="1">
      <alignment horizontal="center" vertical="center"/>
    </xf>
    <xf numFmtId="0" fontId="5" fillId="0" borderId="18" xfId="5" applyBorder="1" applyProtection="1">
      <protection locked="0"/>
    </xf>
    <xf numFmtId="0" fontId="59" fillId="15" borderId="16" xfId="5" applyFont="1" applyFill="1" applyBorder="1" applyAlignment="1" applyProtection="1">
      <alignment horizontal="left" vertical="center"/>
      <protection locked="0"/>
    </xf>
    <xf numFmtId="9" fontId="25" fillId="2" borderId="1" xfId="0" applyNumberFormat="1" applyFont="1" applyFill="1" applyBorder="1" applyAlignment="1">
      <alignment horizontal="center" vertical="center" wrapText="1"/>
    </xf>
    <xf numFmtId="0" fontId="10" fillId="0" borderId="0" xfId="0" applyFont="1" applyAlignment="1">
      <alignment wrapText="1"/>
    </xf>
    <xf numFmtId="0" fontId="10" fillId="2" borderId="1" xfId="0" applyFont="1" applyFill="1" applyBorder="1" applyAlignment="1">
      <alignment horizontal="center" vertical="center" wrapText="1"/>
    </xf>
    <xf numFmtId="0" fontId="0" fillId="0" borderId="0" xfId="0" applyAlignment="1">
      <alignment wrapText="1"/>
    </xf>
    <xf numFmtId="9" fontId="10" fillId="25" borderId="1" xfId="0" applyNumberFormat="1" applyFont="1" applyFill="1" applyBorder="1" applyAlignment="1">
      <alignment horizontal="center" vertical="center" wrapText="1"/>
    </xf>
    <xf numFmtId="9" fontId="10" fillId="17" borderId="1" xfId="0" applyNumberFormat="1" applyFont="1" applyFill="1" applyBorder="1" applyAlignment="1">
      <alignment horizontal="center" vertical="center" wrapText="1"/>
    </xf>
    <xf numFmtId="9" fontId="27" fillId="8" borderId="1" xfId="0" applyNumberFormat="1" applyFont="1" applyFill="1" applyBorder="1" applyAlignment="1">
      <alignment horizontal="center" vertical="center" wrapText="1"/>
    </xf>
    <xf numFmtId="1" fontId="27" fillId="8" borderId="1" xfId="0" applyNumberFormat="1" applyFont="1" applyFill="1" applyBorder="1" applyAlignment="1">
      <alignment horizontal="center" vertical="center" wrapText="1"/>
    </xf>
    <xf numFmtId="165" fontId="27" fillId="0" borderId="1" xfId="0" applyNumberFormat="1" applyFont="1" applyFill="1" applyBorder="1" applyAlignment="1">
      <alignment horizontal="center" vertical="center" wrapText="1"/>
    </xf>
    <xf numFmtId="165" fontId="27" fillId="3" borderId="9" xfId="0" applyNumberFormat="1" applyFont="1" applyFill="1" applyBorder="1" applyAlignment="1">
      <alignment horizontal="center" vertical="center" wrapText="1"/>
    </xf>
    <xf numFmtId="9" fontId="10" fillId="8" borderId="1" xfId="1" applyFont="1" applyFill="1" applyBorder="1" applyAlignment="1">
      <alignment horizontal="center" vertical="center" wrapText="1"/>
    </xf>
    <xf numFmtId="1" fontId="10" fillId="8" borderId="1" xfId="7" applyNumberFormat="1" applyFont="1" applyFill="1" applyBorder="1" applyAlignment="1">
      <alignment horizontal="center" vertical="center" wrapText="1"/>
    </xf>
    <xf numFmtId="1" fontId="27" fillId="29" borderId="1" xfId="0" applyNumberFormat="1" applyFont="1" applyFill="1" applyBorder="1" applyAlignment="1">
      <alignment horizontal="center" vertical="center" wrapText="1"/>
    </xf>
    <xf numFmtId="9" fontId="27" fillId="8" borderId="1" xfId="7" applyNumberFormat="1" applyFont="1" applyFill="1" applyBorder="1" applyAlignment="1">
      <alignment horizontal="center" vertical="center" wrapText="1"/>
    </xf>
    <xf numFmtId="165" fontId="27" fillId="0" borderId="9" xfId="0" applyNumberFormat="1" applyFont="1" applyFill="1" applyBorder="1" applyAlignment="1">
      <alignment horizontal="center" vertical="center" wrapText="1"/>
    </xf>
    <xf numFmtId="0" fontId="10" fillId="2" borderId="103" xfId="0" applyFont="1" applyFill="1" applyBorder="1" applyAlignment="1">
      <alignment horizontal="center" vertical="center" wrapText="1"/>
    </xf>
    <xf numFmtId="9" fontId="27" fillId="8" borderId="103" xfId="7" applyNumberFormat="1" applyFont="1" applyFill="1" applyBorder="1" applyAlignment="1">
      <alignment horizontal="center" vertical="center" wrapText="1"/>
    </xf>
    <xf numFmtId="9" fontId="10" fillId="8" borderId="97" xfId="1" applyFont="1" applyFill="1" applyBorder="1" applyAlignment="1">
      <alignment horizontal="center" vertical="center" wrapText="1"/>
    </xf>
    <xf numFmtId="1" fontId="27" fillId="29" borderId="103" xfId="0" applyNumberFormat="1" applyFont="1" applyFill="1" applyBorder="1" applyAlignment="1">
      <alignment horizontal="center" vertical="center" wrapText="1"/>
    </xf>
    <xf numFmtId="37" fontId="10" fillId="8" borderId="97" xfId="7" applyNumberFormat="1" applyFont="1" applyFill="1" applyBorder="1" applyAlignment="1">
      <alignment horizontal="center" vertical="center" wrapText="1"/>
    </xf>
    <xf numFmtId="9" fontId="10" fillId="8" borderId="103" xfId="1" applyFont="1" applyFill="1" applyBorder="1" applyAlignment="1">
      <alignment horizontal="center" vertical="center" wrapText="1"/>
    </xf>
    <xf numFmtId="1" fontId="10" fillId="8" borderId="103" xfId="7" applyNumberFormat="1" applyFont="1" applyFill="1" applyBorder="1" applyAlignment="1">
      <alignment horizontal="center" vertical="center" wrapText="1"/>
    </xf>
    <xf numFmtId="1" fontId="10" fillId="8" borderId="97" xfId="1" applyNumberFormat="1" applyFont="1" applyFill="1" applyBorder="1" applyAlignment="1">
      <alignment horizontal="center" vertical="center" wrapText="1"/>
    </xf>
    <xf numFmtId="1" fontId="25" fillId="8" borderId="97" xfId="1" applyNumberFormat="1" applyFont="1" applyFill="1" applyBorder="1" applyAlignment="1">
      <alignment horizontal="center" vertical="center" wrapText="1"/>
    </xf>
    <xf numFmtId="9" fontId="10" fillId="29" borderId="1" xfId="1" applyNumberFormat="1" applyFont="1" applyFill="1" applyBorder="1" applyAlignment="1">
      <alignment horizontal="center" vertical="center" wrapText="1"/>
    </xf>
    <xf numFmtId="9" fontId="10" fillId="29" borderId="103" xfId="1" applyNumberFormat="1" applyFont="1" applyFill="1" applyBorder="1" applyAlignment="1">
      <alignment horizontal="center" vertical="center" wrapText="1"/>
    </xf>
    <xf numFmtId="9" fontId="10" fillId="29" borderId="97" xfId="1" applyNumberFormat="1" applyFont="1" applyFill="1" applyBorder="1" applyAlignment="1">
      <alignment horizontal="center" vertical="center" wrapText="1"/>
    </xf>
    <xf numFmtId="1" fontId="10" fillId="29" borderId="1" xfId="0" applyNumberFormat="1" applyFont="1" applyFill="1" applyBorder="1" applyAlignment="1">
      <alignment horizontal="center" vertical="center"/>
    </xf>
    <xf numFmtId="0" fontId="25" fillId="0" borderId="0" xfId="0" applyFont="1"/>
    <xf numFmtId="9" fontId="10" fillId="25" borderId="103" xfId="0" applyNumberFormat="1" applyFont="1" applyFill="1" applyBorder="1" applyAlignment="1">
      <alignment horizontal="center" vertical="center" wrapText="1"/>
    </xf>
    <xf numFmtId="9" fontId="10" fillId="17" borderId="97" xfId="0" applyNumberFormat="1" applyFont="1" applyFill="1" applyBorder="1" applyAlignment="1">
      <alignment horizontal="center" vertical="center" wrapText="1"/>
    </xf>
    <xf numFmtId="1" fontId="27" fillId="8" borderId="103" xfId="0" applyNumberFormat="1" applyFont="1" applyFill="1" applyBorder="1" applyAlignment="1">
      <alignment horizontal="center" vertical="center" wrapText="1"/>
    </xf>
    <xf numFmtId="1" fontId="27" fillId="8" borderId="97" xfId="0" applyNumberFormat="1" applyFont="1" applyFill="1" applyBorder="1" applyAlignment="1">
      <alignment horizontal="center" vertical="center" wrapText="1"/>
    </xf>
    <xf numFmtId="1" fontId="27" fillId="8" borderId="114" xfId="0" applyNumberFormat="1" applyFont="1" applyFill="1" applyBorder="1" applyAlignment="1">
      <alignment horizontal="center" vertical="center" wrapText="1"/>
    </xf>
    <xf numFmtId="1" fontId="27" fillId="8" borderId="115" xfId="0" applyNumberFormat="1" applyFont="1" applyFill="1" applyBorder="1" applyAlignment="1">
      <alignment horizontal="center" vertical="center" wrapText="1"/>
    </xf>
    <xf numFmtId="1" fontId="27" fillId="8" borderId="116" xfId="0" applyNumberFormat="1" applyFont="1" applyFill="1" applyBorder="1" applyAlignment="1">
      <alignment horizontal="center" vertical="center" wrapText="1"/>
    </xf>
    <xf numFmtId="0" fontId="27" fillId="3" borderId="97" xfId="0" applyNumberFormat="1" applyFont="1" applyFill="1" applyBorder="1" applyAlignment="1">
      <alignment horizontal="left" vertical="center" wrapText="1"/>
    </xf>
    <xf numFmtId="0" fontId="27" fillId="3" borderId="116" xfId="0" applyNumberFormat="1" applyFont="1" applyFill="1" applyBorder="1" applyAlignment="1">
      <alignment horizontal="left" vertical="center" wrapText="1"/>
    </xf>
    <xf numFmtId="9" fontId="27" fillId="8" borderId="103" xfId="0" applyNumberFormat="1" applyFont="1" applyFill="1" applyBorder="1" applyAlignment="1">
      <alignment horizontal="center" vertical="center" wrapText="1"/>
    </xf>
    <xf numFmtId="9" fontId="27" fillId="8" borderId="97" xfId="0" applyNumberFormat="1" applyFont="1" applyFill="1" applyBorder="1" applyAlignment="1">
      <alignment horizontal="center" vertical="center" wrapText="1"/>
    </xf>
    <xf numFmtId="9" fontId="27" fillId="8" borderId="114" xfId="0" applyNumberFormat="1" applyFont="1" applyFill="1" applyBorder="1" applyAlignment="1">
      <alignment horizontal="center" vertical="center" wrapText="1"/>
    </xf>
    <xf numFmtId="9" fontId="27" fillId="8" borderId="115" xfId="0" applyNumberFormat="1" applyFont="1" applyFill="1" applyBorder="1" applyAlignment="1">
      <alignment horizontal="center" vertical="center" wrapText="1"/>
    </xf>
    <xf numFmtId="9" fontId="27" fillId="8" borderId="116" xfId="0" applyNumberFormat="1" applyFont="1" applyFill="1" applyBorder="1" applyAlignment="1">
      <alignment horizontal="center" vertical="center" wrapText="1"/>
    </xf>
    <xf numFmtId="0" fontId="27" fillId="0" borderId="3" xfId="5" applyFont="1" applyFill="1" applyBorder="1" applyAlignment="1">
      <alignment horizontal="left" vertical="top" wrapText="1"/>
    </xf>
    <xf numFmtId="0" fontId="27" fillId="0" borderId="1" xfId="5" applyFont="1" applyFill="1" applyBorder="1" applyAlignment="1">
      <alignment horizontal="left" vertical="top" wrapText="1"/>
    </xf>
    <xf numFmtId="1" fontId="10" fillId="3" borderId="9" xfId="0" applyNumberFormat="1" applyFont="1" applyFill="1" applyBorder="1" applyAlignment="1">
      <alignment horizontal="center" vertical="center"/>
    </xf>
    <xf numFmtId="0" fontId="11" fillId="0" borderId="37" xfId="5" applyFont="1" applyBorder="1"/>
    <xf numFmtId="0" fontId="11" fillId="26" borderId="37" xfId="5" applyFont="1" applyFill="1" applyBorder="1"/>
    <xf numFmtId="0" fontId="11" fillId="5" borderId="37" xfId="5" applyFont="1" applyFill="1" applyBorder="1"/>
    <xf numFmtId="0" fontId="64" fillId="5" borderId="1" xfId="5" applyFont="1" applyFill="1" applyBorder="1" applyAlignment="1">
      <alignment vertical="top"/>
    </xf>
    <xf numFmtId="0" fontId="60" fillId="15" borderId="54" xfId="10" applyFill="1" applyBorder="1" applyAlignment="1">
      <alignment horizontal="left" vertical="center"/>
      <protection locked="0"/>
    </xf>
    <xf numFmtId="0" fontId="60" fillId="15" borderId="55" xfId="10" applyFill="1" applyBorder="1" applyAlignment="1">
      <alignment horizontal="left" vertical="center"/>
      <protection locked="0"/>
    </xf>
    <xf numFmtId="0" fontId="5" fillId="15" borderId="18" xfId="5" applyFill="1" applyBorder="1" applyAlignment="1" applyProtection="1">
      <alignment horizontal="left"/>
      <protection locked="0"/>
    </xf>
    <xf numFmtId="0" fontId="60" fillId="15" borderId="0" xfId="10" applyFill="1" applyAlignment="1">
      <alignment horizontal="left" vertical="center"/>
      <protection locked="0"/>
    </xf>
    <xf numFmtId="0" fontId="60" fillId="15" borderId="57" xfId="10" applyFill="1" applyBorder="1" applyAlignment="1">
      <alignment horizontal="left" vertical="center"/>
      <protection locked="0"/>
    </xf>
    <xf numFmtId="0" fontId="19" fillId="2" borderId="3" xfId="0" applyFont="1" applyFill="1" applyBorder="1" applyAlignment="1">
      <alignment horizontal="center" vertical="center" wrapText="1"/>
    </xf>
    <xf numFmtId="0" fontId="67" fillId="0" borderId="0" xfId="0" applyFont="1" applyAlignment="1">
      <alignment horizontal="center" vertical="center" wrapText="1"/>
    </xf>
    <xf numFmtId="0" fontId="66" fillId="2" borderId="3" xfId="0" applyFont="1" applyFill="1" applyBorder="1" applyAlignment="1">
      <alignment vertical="center" wrapText="1"/>
    </xf>
    <xf numFmtId="0" fontId="26" fillId="2" borderId="1" xfId="3" applyFont="1" applyFill="1" applyBorder="1" applyAlignment="1">
      <alignment vertical="center" textRotation="90" wrapText="1"/>
    </xf>
    <xf numFmtId="9" fontId="10" fillId="3" borderId="103" xfId="0" applyNumberFormat="1" applyFont="1" applyFill="1" applyBorder="1" applyAlignment="1" applyProtection="1">
      <alignment horizontal="center" vertical="center" wrapText="1"/>
      <protection locked="0"/>
    </xf>
    <xf numFmtId="9" fontId="10" fillId="3" borderId="1" xfId="0" applyNumberFormat="1" applyFont="1" applyFill="1" applyBorder="1" applyAlignment="1" applyProtection="1">
      <alignment horizontal="center" vertical="center" wrapText="1"/>
      <protection locked="0"/>
    </xf>
    <xf numFmtId="9" fontId="10" fillId="3" borderId="97" xfId="0" applyNumberFormat="1" applyFont="1" applyFill="1" applyBorder="1" applyAlignment="1" applyProtection="1">
      <alignment horizontal="center" vertical="center"/>
      <protection locked="0"/>
    </xf>
    <xf numFmtId="9" fontId="10" fillId="0" borderId="103" xfId="0" applyNumberFormat="1" applyFont="1" applyFill="1" applyBorder="1" applyAlignment="1" applyProtection="1">
      <alignment horizontal="center" vertical="center" wrapText="1"/>
      <protection locked="0"/>
    </xf>
    <xf numFmtId="9" fontId="10" fillId="0" borderId="1" xfId="0" applyNumberFormat="1" applyFont="1" applyFill="1" applyBorder="1" applyAlignment="1" applyProtection="1">
      <alignment horizontal="center" vertical="center" wrapText="1"/>
      <protection locked="0"/>
    </xf>
    <xf numFmtId="9" fontId="27" fillId="3" borderId="97" xfId="0" applyNumberFormat="1" applyFont="1" applyFill="1" applyBorder="1" applyAlignment="1" applyProtection="1">
      <alignment horizontal="center" vertical="center" wrapText="1"/>
      <protection locked="0"/>
    </xf>
    <xf numFmtId="1" fontId="10" fillId="3" borderId="103" xfId="0" applyNumberFormat="1" applyFont="1" applyFill="1" applyBorder="1" applyAlignment="1" applyProtection="1">
      <alignment horizontal="center" vertical="center" wrapText="1"/>
      <protection locked="0"/>
    </xf>
    <xf numFmtId="1" fontId="10" fillId="3" borderId="1" xfId="0" applyNumberFormat="1" applyFont="1" applyFill="1" applyBorder="1" applyAlignment="1" applyProtection="1">
      <alignment horizontal="center" vertical="center" wrapText="1"/>
      <protection locked="0"/>
    </xf>
    <xf numFmtId="1" fontId="10" fillId="3" borderId="97" xfId="0" applyNumberFormat="1" applyFont="1" applyFill="1" applyBorder="1" applyAlignment="1" applyProtection="1">
      <alignment horizontal="center" vertical="center"/>
      <protection locked="0"/>
    </xf>
    <xf numFmtId="1" fontId="27" fillId="0" borderId="103" xfId="0" applyNumberFormat="1" applyFont="1" applyFill="1" applyBorder="1" applyAlignment="1" applyProtection="1">
      <alignment horizontal="center" vertical="center" wrapText="1"/>
      <protection locked="0"/>
    </xf>
    <xf numFmtId="1" fontId="27" fillId="0" borderId="1" xfId="0" applyNumberFormat="1" applyFont="1" applyFill="1" applyBorder="1" applyAlignment="1" applyProtection="1">
      <alignment horizontal="center" vertical="center" wrapText="1"/>
      <protection locked="0"/>
    </xf>
    <xf numFmtId="1" fontId="27" fillId="3" borderId="97" xfId="0" applyNumberFormat="1" applyFont="1" applyFill="1" applyBorder="1" applyAlignment="1" applyProtection="1">
      <alignment horizontal="center" vertical="center" wrapText="1"/>
      <protection locked="0"/>
    </xf>
    <xf numFmtId="9" fontId="10" fillId="3" borderId="103" xfId="1" applyFont="1" applyFill="1" applyBorder="1" applyAlignment="1" applyProtection="1">
      <alignment horizontal="center" vertical="center"/>
      <protection locked="0"/>
    </xf>
    <xf numFmtId="9" fontId="10" fillId="3" borderId="1" xfId="1" applyFont="1" applyFill="1" applyBorder="1" applyAlignment="1" applyProtection="1">
      <alignment horizontal="center" vertical="center"/>
      <protection locked="0"/>
    </xf>
    <xf numFmtId="9" fontId="10" fillId="0" borderId="103" xfId="1" applyFont="1" applyFill="1" applyBorder="1" applyAlignment="1" applyProtection="1">
      <alignment horizontal="center" vertical="center"/>
      <protection locked="0"/>
    </xf>
    <xf numFmtId="9" fontId="10" fillId="0" borderId="1" xfId="1" applyFont="1" applyFill="1" applyBorder="1" applyAlignment="1" applyProtection="1">
      <alignment horizontal="center" vertical="center"/>
      <protection locked="0"/>
    </xf>
    <xf numFmtId="0" fontId="10" fillId="3" borderId="106" xfId="1" applyNumberFormat="1" applyFont="1" applyFill="1" applyBorder="1" applyAlignment="1" applyProtection="1">
      <alignment horizontal="center" vertical="center"/>
      <protection locked="0"/>
    </xf>
    <xf numFmtId="0" fontId="10" fillId="3" borderId="3" xfId="1" applyNumberFormat="1" applyFont="1" applyFill="1" applyBorder="1" applyAlignment="1" applyProtection="1">
      <alignment horizontal="center" vertical="center"/>
      <protection locked="0"/>
    </xf>
    <xf numFmtId="0" fontId="10" fillId="0" borderId="103" xfId="0" applyNumberFormat="1" applyFont="1" applyFill="1" applyBorder="1" applyAlignment="1" applyProtection="1">
      <alignment horizontal="center" vertical="center"/>
      <protection locked="0"/>
    </xf>
    <xf numFmtId="0" fontId="10" fillId="0" borderId="1" xfId="0" applyNumberFormat="1" applyFont="1" applyFill="1" applyBorder="1" applyAlignment="1" applyProtection="1">
      <alignment horizontal="center" vertical="center"/>
      <protection locked="0"/>
    </xf>
    <xf numFmtId="1" fontId="27" fillId="3" borderId="99" xfId="0" applyNumberFormat="1" applyFont="1" applyFill="1" applyBorder="1" applyAlignment="1" applyProtection="1">
      <alignment horizontal="center" vertical="center" wrapText="1"/>
      <protection locked="0"/>
    </xf>
    <xf numFmtId="0" fontId="10" fillId="0" borderId="103" xfId="0" applyFont="1" applyFill="1" applyBorder="1" applyAlignment="1" applyProtection="1">
      <alignment horizontal="center" vertical="center" wrapText="1"/>
      <protection locked="0"/>
    </xf>
    <xf numFmtId="0" fontId="10" fillId="0" borderId="1" xfId="0" applyFont="1" applyFill="1" applyBorder="1" applyAlignment="1" applyProtection="1">
      <alignment horizontal="center" vertical="center" wrapText="1"/>
      <protection locked="0"/>
    </xf>
    <xf numFmtId="1" fontId="27" fillId="0" borderId="99" xfId="0" applyNumberFormat="1" applyFont="1" applyFill="1" applyBorder="1" applyAlignment="1" applyProtection="1">
      <alignment horizontal="center" vertical="center" wrapText="1"/>
      <protection locked="0"/>
    </xf>
    <xf numFmtId="0" fontId="10" fillId="3" borderId="103" xfId="1" applyNumberFormat="1" applyFont="1" applyFill="1" applyBorder="1" applyAlignment="1" applyProtection="1">
      <alignment horizontal="center" vertical="center"/>
      <protection locked="0"/>
    </xf>
    <xf numFmtId="0" fontId="10" fillId="3" borderId="1" xfId="1" applyNumberFormat="1" applyFont="1" applyFill="1" applyBorder="1" applyAlignment="1" applyProtection="1">
      <alignment horizontal="center" vertical="center"/>
      <protection locked="0"/>
    </xf>
    <xf numFmtId="0" fontId="25" fillId="3" borderId="7" xfId="0" applyFont="1" applyFill="1" applyBorder="1" applyAlignment="1" applyProtection="1">
      <alignment horizontal="center" vertical="center" wrapText="1"/>
      <protection locked="0"/>
    </xf>
    <xf numFmtId="0" fontId="10" fillId="3" borderId="7" xfId="0" applyNumberFormat="1" applyFont="1" applyFill="1" applyBorder="1" applyAlignment="1" applyProtection="1">
      <alignment horizontal="center" vertical="center" wrapText="1"/>
      <protection locked="0"/>
    </xf>
    <xf numFmtId="0" fontId="25" fillId="8" borderId="3" xfId="0" applyFont="1" applyFill="1" applyBorder="1" applyAlignment="1">
      <alignment horizontal="center" vertical="center" wrapText="1"/>
    </xf>
    <xf numFmtId="0" fontId="10" fillId="0" borderId="0" xfId="0" applyFont="1" applyAlignment="1"/>
    <xf numFmtId="0" fontId="27" fillId="0" borderId="44" xfId="5" applyFont="1" applyFill="1" applyBorder="1" applyAlignment="1">
      <alignment horizontal="left" vertical="top" wrapText="1"/>
    </xf>
    <xf numFmtId="0" fontId="27" fillId="0" borderId="1" xfId="5" applyFont="1" applyFill="1" applyBorder="1" applyAlignment="1">
      <alignment horizontal="justify" vertical="top" wrapText="1"/>
    </xf>
    <xf numFmtId="0" fontId="28" fillId="0" borderId="1" xfId="0" applyFont="1" applyFill="1" applyBorder="1" applyAlignment="1">
      <alignment vertical="top" wrapText="1"/>
    </xf>
    <xf numFmtId="0" fontId="10" fillId="0" borderId="1" xfId="0" applyFont="1" applyFill="1" applyBorder="1" applyAlignment="1">
      <alignment horizontal="center" vertical="center" wrapText="1"/>
    </xf>
    <xf numFmtId="0" fontId="10" fillId="0" borderId="1" xfId="0" applyFont="1" applyFill="1" applyBorder="1" applyAlignment="1">
      <alignment vertical="top" wrapText="1"/>
    </xf>
    <xf numFmtId="0" fontId="30" fillId="0" borderId="1" xfId="0" applyFont="1" applyFill="1" applyBorder="1" applyAlignment="1">
      <alignment vertical="center" wrapText="1"/>
    </xf>
    <xf numFmtId="0" fontId="30" fillId="0" borderId="1"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28" fillId="0" borderId="1" xfId="0" applyFont="1" applyFill="1" applyBorder="1" applyAlignment="1">
      <alignment horizontal="justify" vertical="top"/>
    </xf>
    <xf numFmtId="0" fontId="24" fillId="0" borderId="1" xfId="0" applyFont="1" applyFill="1" applyBorder="1" applyAlignment="1">
      <alignment horizontal="center" vertical="center" wrapText="1"/>
    </xf>
    <xf numFmtId="3" fontId="29" fillId="0" borderId="1" xfId="0" applyNumberFormat="1" applyFont="1" applyFill="1" applyBorder="1" applyAlignment="1">
      <alignment horizontal="center" vertical="center" wrapText="1"/>
    </xf>
    <xf numFmtId="0" fontId="31" fillId="0" borderId="1" xfId="0" applyFont="1" applyFill="1" applyBorder="1" applyAlignment="1">
      <alignment horizontal="center" vertical="center" wrapText="1"/>
    </xf>
    <xf numFmtId="3" fontId="52" fillId="0" borderId="1" xfId="0" applyNumberFormat="1" applyFont="1" applyFill="1" applyBorder="1" applyAlignment="1">
      <alignment horizontal="center" vertical="center" wrapText="1"/>
    </xf>
    <xf numFmtId="0" fontId="25" fillId="0" borderId="1" xfId="0" applyFont="1" applyFill="1" applyBorder="1" applyAlignment="1">
      <alignment horizontal="center" vertical="center" wrapText="1"/>
    </xf>
    <xf numFmtId="0" fontId="53" fillId="0" borderId="1" xfId="0" applyFont="1" applyFill="1" applyBorder="1" applyAlignment="1">
      <alignment horizontal="center" vertical="center" wrapText="1"/>
    </xf>
    <xf numFmtId="0" fontId="51" fillId="0" borderId="1" xfId="0" applyFont="1" applyFill="1" applyBorder="1" applyAlignment="1">
      <alignment vertical="center" wrapText="1"/>
    </xf>
    <xf numFmtId="0" fontId="22" fillId="0" borderId="1" xfId="0" applyFont="1" applyFill="1" applyBorder="1" applyAlignment="1">
      <alignment horizontal="center" vertical="center" wrapText="1"/>
    </xf>
    <xf numFmtId="0" fontId="54" fillId="0" borderId="1" xfId="0" applyFont="1" applyFill="1" applyBorder="1" applyAlignment="1">
      <alignment horizontal="center" vertical="center" wrapText="1"/>
    </xf>
    <xf numFmtId="0" fontId="28" fillId="0" borderId="1" xfId="0" applyFont="1" applyFill="1" applyBorder="1" applyAlignment="1">
      <alignment horizontal="center" vertical="center" wrapText="1"/>
    </xf>
    <xf numFmtId="0" fontId="27" fillId="0" borderId="1" xfId="0" applyFont="1" applyFill="1" applyBorder="1" applyAlignment="1">
      <alignment horizontal="left" vertical="center" wrapText="1"/>
    </xf>
    <xf numFmtId="0" fontId="32" fillId="0" borderId="1" xfId="0" applyFont="1" applyFill="1" applyBorder="1" applyAlignment="1">
      <alignment horizontal="center" vertical="center" wrapText="1"/>
    </xf>
    <xf numFmtId="0" fontId="29" fillId="0" borderId="1" xfId="0" applyFont="1" applyFill="1" applyBorder="1" applyAlignment="1">
      <alignment horizontal="center" vertical="center" wrapText="1"/>
    </xf>
    <xf numFmtId="0" fontId="10" fillId="0" borderId="1" xfId="0" applyFont="1" applyFill="1" applyBorder="1" applyAlignment="1">
      <alignment horizontal="justify" vertical="top"/>
    </xf>
    <xf numFmtId="0" fontId="10" fillId="0" borderId="1" xfId="0" applyFont="1" applyFill="1" applyBorder="1" applyAlignment="1">
      <alignment horizontal="left" vertical="center"/>
    </xf>
    <xf numFmtId="0" fontId="28" fillId="0" borderId="1" xfId="0" applyFont="1" applyFill="1" applyBorder="1" applyAlignment="1">
      <alignment horizontal="justify" vertical="top" wrapText="1"/>
    </xf>
    <xf numFmtId="0" fontId="33" fillId="0" borderId="1" xfId="0" applyFont="1" applyBorder="1" applyAlignment="1">
      <alignment vertical="center" wrapText="1"/>
    </xf>
    <xf numFmtId="1" fontId="10" fillId="3" borderId="9" xfId="0" applyNumberFormat="1" applyFont="1" applyFill="1" applyBorder="1" applyAlignment="1">
      <alignment vertical="center"/>
    </xf>
    <xf numFmtId="1" fontId="10" fillId="3" borderId="1" xfId="0" applyNumberFormat="1" applyFont="1" applyFill="1" applyBorder="1" applyAlignment="1">
      <alignment vertical="center"/>
    </xf>
    <xf numFmtId="9" fontId="25" fillId="2" borderId="103" xfId="0" applyNumberFormat="1" applyFont="1" applyFill="1" applyBorder="1" applyAlignment="1">
      <alignment horizontal="center" vertical="center" wrapText="1"/>
    </xf>
    <xf numFmtId="0" fontId="25" fillId="2" borderId="97" xfId="0" applyFont="1" applyFill="1" applyBorder="1" applyAlignment="1">
      <alignment horizontal="center" vertical="center" wrapText="1"/>
    </xf>
    <xf numFmtId="1" fontId="10" fillId="3" borderId="103" xfId="0" applyNumberFormat="1" applyFont="1" applyFill="1" applyBorder="1" applyAlignment="1">
      <alignment horizontal="center" vertical="center"/>
    </xf>
    <xf numFmtId="1" fontId="10" fillId="3" borderId="97" xfId="0" applyNumberFormat="1" applyFont="1" applyFill="1" applyBorder="1" applyAlignment="1">
      <alignment horizontal="center" vertical="center"/>
    </xf>
    <xf numFmtId="1" fontId="10" fillId="3" borderId="103" xfId="0" applyNumberFormat="1" applyFont="1" applyFill="1" applyBorder="1" applyAlignment="1">
      <alignment vertical="center"/>
    </xf>
    <xf numFmtId="1" fontId="10" fillId="3" borderId="97" xfId="0" applyNumberFormat="1" applyFont="1" applyFill="1" applyBorder="1" applyAlignment="1">
      <alignment vertical="center"/>
    </xf>
    <xf numFmtId="1" fontId="10" fillId="3" borderId="114" xfId="0" applyNumberFormat="1" applyFont="1" applyFill="1" applyBorder="1" applyAlignment="1">
      <alignment vertical="center"/>
    </xf>
    <xf numFmtId="1" fontId="10" fillId="3" borderId="115" xfId="0" applyNumberFormat="1" applyFont="1" applyFill="1" applyBorder="1" applyAlignment="1">
      <alignment vertical="center"/>
    </xf>
    <xf numFmtId="1" fontId="10" fillId="3" borderId="116" xfId="0" applyNumberFormat="1" applyFont="1" applyFill="1" applyBorder="1" applyAlignment="1">
      <alignment vertical="center"/>
    </xf>
    <xf numFmtId="1" fontId="10" fillId="29" borderId="103" xfId="0" applyNumberFormat="1" applyFont="1" applyFill="1" applyBorder="1" applyAlignment="1">
      <alignment horizontal="center" vertical="center"/>
    </xf>
    <xf numFmtId="1" fontId="10" fillId="29" borderId="97" xfId="0" applyNumberFormat="1" applyFont="1" applyFill="1" applyBorder="1" applyAlignment="1">
      <alignment horizontal="center" vertical="center"/>
    </xf>
    <xf numFmtId="0" fontId="25" fillId="2" borderId="9" xfId="0" applyFont="1" applyFill="1" applyBorder="1" applyAlignment="1">
      <alignment horizontal="center" vertical="center" wrapText="1"/>
    </xf>
    <xf numFmtId="1" fontId="10" fillId="3" borderId="120" xfId="0" applyNumberFormat="1" applyFont="1" applyFill="1" applyBorder="1" applyAlignment="1">
      <alignment vertical="center"/>
    </xf>
    <xf numFmtId="1" fontId="10" fillId="29" borderId="114" xfId="0" applyNumberFormat="1" applyFont="1" applyFill="1" applyBorder="1" applyAlignment="1">
      <alignment horizontal="center" vertical="center"/>
    </xf>
    <xf numFmtId="1" fontId="10" fillId="29" borderId="115" xfId="0" applyNumberFormat="1" applyFont="1" applyFill="1" applyBorder="1" applyAlignment="1">
      <alignment horizontal="center" vertical="center"/>
    </xf>
    <xf numFmtId="1" fontId="10" fillId="29" borderId="116" xfId="0" applyNumberFormat="1" applyFont="1" applyFill="1" applyBorder="1" applyAlignment="1">
      <alignment horizontal="center" vertical="center"/>
    </xf>
    <xf numFmtId="0" fontId="10" fillId="0" borderId="97" xfId="0" applyFont="1" applyBorder="1" applyAlignment="1">
      <alignment vertical="top" wrapText="1"/>
    </xf>
    <xf numFmtId="0" fontId="27" fillId="3" borderId="97" xfId="0" applyNumberFormat="1" applyFont="1" applyFill="1" applyBorder="1" applyAlignment="1">
      <alignment horizontal="left" vertical="top" wrapText="1"/>
    </xf>
    <xf numFmtId="0" fontId="33" fillId="0" borderId="115" xfId="0" applyFont="1" applyBorder="1" applyAlignment="1">
      <alignment vertical="center" wrapText="1"/>
    </xf>
    <xf numFmtId="0" fontId="1" fillId="0" borderId="0" xfId="6" applyFont="1" applyProtection="1">
      <protection locked="0"/>
    </xf>
    <xf numFmtId="0" fontId="0" fillId="0" borderId="0" xfId="0" applyAlignment="1" applyProtection="1">
      <protection locked="0"/>
    </xf>
    <xf numFmtId="0" fontId="0" fillId="0" borderId="0" xfId="0" applyProtection="1">
      <protection locked="0"/>
    </xf>
    <xf numFmtId="0" fontId="12" fillId="0" borderId="0" xfId="6" applyFont="1" applyProtection="1">
      <protection locked="0"/>
    </xf>
    <xf numFmtId="0" fontId="1" fillId="0" borderId="91" xfId="6" applyFont="1" applyBorder="1" applyProtection="1">
      <protection locked="0"/>
    </xf>
    <xf numFmtId="0" fontId="4" fillId="2" borderId="8" xfId="6" applyFont="1" applyFill="1" applyBorder="1" applyAlignment="1" applyProtection="1">
      <alignment wrapText="1"/>
      <protection locked="0"/>
    </xf>
    <xf numFmtId="0" fontId="4" fillId="2" borderId="3" xfId="6" applyFont="1" applyFill="1" applyBorder="1" applyAlignment="1" applyProtection="1">
      <alignment wrapText="1"/>
      <protection locked="0"/>
    </xf>
    <xf numFmtId="0" fontId="4" fillId="2" borderId="99" xfId="6" applyFont="1" applyFill="1" applyBorder="1" applyAlignment="1" applyProtection="1">
      <alignment wrapText="1"/>
      <protection locked="0"/>
    </xf>
    <xf numFmtId="0" fontId="4" fillId="2" borderId="7" xfId="6" applyFont="1" applyFill="1" applyBorder="1" applyAlignment="1" applyProtection="1">
      <alignment wrapText="1"/>
      <protection locked="0"/>
    </xf>
    <xf numFmtId="0" fontId="0" fillId="2" borderId="1" xfId="6" applyFont="1" applyFill="1" applyBorder="1" applyAlignment="1" applyProtection="1">
      <alignment horizontal="center"/>
      <protection locked="0"/>
    </xf>
    <xf numFmtId="0" fontId="4" fillId="2" borderId="1" xfId="6" applyFont="1" applyFill="1" applyBorder="1" applyAlignment="1" applyProtection="1">
      <alignment wrapText="1"/>
      <protection locked="0"/>
    </xf>
    <xf numFmtId="0" fontId="0" fillId="2" borderId="97" xfId="6" applyFont="1" applyFill="1" applyBorder="1" applyAlignment="1" applyProtection="1">
      <alignment horizontal="center"/>
      <protection locked="0"/>
    </xf>
    <xf numFmtId="0" fontId="0" fillId="2" borderId="3" xfId="6" applyFont="1" applyFill="1" applyBorder="1" applyAlignment="1" applyProtection="1">
      <alignment horizontal="center"/>
      <protection locked="0"/>
    </xf>
    <xf numFmtId="0" fontId="0" fillId="2" borderId="99" xfId="6" applyFont="1" applyFill="1" applyBorder="1" applyAlignment="1" applyProtection="1">
      <alignment horizontal="center"/>
      <protection locked="0"/>
    </xf>
    <xf numFmtId="0" fontId="4" fillId="2" borderId="8" xfId="6" applyFont="1" applyFill="1" applyBorder="1" applyAlignment="1" applyProtection="1">
      <alignment horizontal="center" vertical="center"/>
      <protection locked="0"/>
    </xf>
    <xf numFmtId="0" fontId="4" fillId="2" borderId="99" xfId="6" applyFont="1" applyFill="1" applyBorder="1" applyAlignment="1" applyProtection="1">
      <alignment horizontal="center" vertical="center"/>
      <protection locked="0"/>
    </xf>
    <xf numFmtId="0" fontId="0" fillId="0" borderId="7" xfId="0" applyBorder="1" applyProtection="1">
      <protection locked="0"/>
    </xf>
    <xf numFmtId="0" fontId="0" fillId="0" borderId="1" xfId="0" applyBorder="1" applyProtection="1">
      <protection locked="0"/>
    </xf>
    <xf numFmtId="0" fontId="0" fillId="0" borderId="91" xfId="0" applyBorder="1" applyProtection="1">
      <protection locked="0"/>
    </xf>
    <xf numFmtId="14" fontId="10" fillId="0" borderId="1" xfId="6" applyNumberFormat="1" applyFont="1" applyBorder="1" applyAlignment="1" applyProtection="1">
      <alignment vertical="center" wrapText="1"/>
      <protection locked="0"/>
    </xf>
    <xf numFmtId="0" fontId="1" fillId="0" borderId="1" xfId="6" applyFont="1" applyFill="1" applyBorder="1" applyProtection="1">
      <protection locked="0"/>
    </xf>
    <xf numFmtId="0" fontId="3" fillId="33" borderId="0" xfId="0" applyFont="1" applyFill="1"/>
    <xf numFmtId="0" fontId="1" fillId="2" borderId="7" xfId="6" applyFont="1" applyFill="1" applyBorder="1" applyAlignment="1">
      <alignment horizontal="center"/>
    </xf>
    <xf numFmtId="0" fontId="11" fillId="0" borderId="7" xfId="5" applyFont="1" applyBorder="1"/>
    <xf numFmtId="9" fontId="11" fillId="0" borderId="8" xfId="1" applyFont="1" applyBorder="1"/>
    <xf numFmtId="43" fontId="11" fillId="0" borderId="1" xfId="7" applyFont="1" applyBorder="1"/>
    <xf numFmtId="43" fontId="0" fillId="0" borderId="1" xfId="7" applyFont="1" applyBorder="1"/>
    <xf numFmtId="9" fontId="69" fillId="0" borderId="1" xfId="1" applyFont="1" applyBorder="1" applyAlignment="1"/>
    <xf numFmtId="0" fontId="65" fillId="12" borderId="1" xfId="5" applyFont="1" applyFill="1" applyBorder="1" applyAlignment="1">
      <alignment horizontal="left" vertical="center"/>
    </xf>
    <xf numFmtId="0" fontId="11" fillId="0" borderId="1" xfId="5" applyFont="1" applyBorder="1" applyAlignment="1">
      <alignment horizontal="left" vertical="center"/>
    </xf>
    <xf numFmtId="0" fontId="65" fillId="30" borderId="1" xfId="5" applyFont="1" applyFill="1" applyBorder="1" applyAlignment="1">
      <alignment horizontal="left" vertical="center"/>
    </xf>
    <xf numFmtId="0" fontId="64" fillId="0" borderId="9" xfId="5" applyFont="1" applyBorder="1" applyAlignment="1">
      <alignment horizontal="center"/>
    </xf>
    <xf numFmtId="0" fontId="64" fillId="0" borderId="11" xfId="5" applyFont="1" applyBorder="1" applyAlignment="1">
      <alignment horizontal="center"/>
    </xf>
    <xf numFmtId="0" fontId="64" fillId="0" borderId="7" xfId="5" applyFont="1" applyBorder="1" applyAlignment="1">
      <alignment horizontal="center"/>
    </xf>
    <xf numFmtId="0" fontId="11" fillId="0" borderId="11" xfId="5" applyFont="1" applyBorder="1" applyAlignment="1">
      <alignment horizontal="left" vertical="top" wrapText="1"/>
    </xf>
    <xf numFmtId="0" fontId="11" fillId="0" borderId="7" xfId="5" applyFont="1" applyBorder="1" applyAlignment="1">
      <alignment horizontal="left" vertical="top" wrapText="1"/>
    </xf>
    <xf numFmtId="0" fontId="11" fillId="0" borderId="9" xfId="5" applyFont="1" applyBorder="1" applyAlignment="1">
      <alignment horizontal="center"/>
    </xf>
    <xf numFmtId="0" fontId="11" fillId="0" borderId="11" xfId="5" applyFont="1" applyBorder="1" applyAlignment="1">
      <alignment horizontal="center"/>
    </xf>
    <xf numFmtId="0" fontId="11" fillId="0" borderId="7" xfId="5" applyFont="1" applyBorder="1" applyAlignment="1">
      <alignment horizontal="center"/>
    </xf>
    <xf numFmtId="0" fontId="11" fillId="0" borderId="11" xfId="5" applyFont="1" applyBorder="1" applyAlignment="1">
      <alignment horizontal="left" vertical="center" wrapText="1"/>
    </xf>
    <xf numFmtId="0" fontId="11" fillId="0" borderId="7" xfId="5" applyFont="1" applyBorder="1" applyAlignment="1">
      <alignment horizontal="left" vertical="center" wrapText="1"/>
    </xf>
    <xf numFmtId="0" fontId="61" fillId="0" borderId="16" xfId="5" applyFont="1" applyBorder="1" applyAlignment="1">
      <alignment horizontal="center"/>
    </xf>
    <xf numFmtId="0" fontId="61" fillId="0" borderId="54" xfId="5" applyFont="1" applyBorder="1" applyAlignment="1">
      <alignment horizontal="center"/>
    </xf>
    <xf numFmtId="0" fontId="61" fillId="0" borderId="55" xfId="5" applyFont="1" applyBorder="1" applyAlignment="1">
      <alignment horizontal="center"/>
    </xf>
    <xf numFmtId="0" fontId="11" fillId="0" borderId="19" xfId="5" applyFont="1" applyBorder="1" applyAlignment="1">
      <alignment horizontal="center"/>
    </xf>
    <xf numFmtId="0" fontId="11" fillId="0" borderId="17" xfId="5" applyFont="1" applyBorder="1" applyAlignment="1">
      <alignment horizontal="center"/>
    </xf>
    <xf numFmtId="0" fontId="11" fillId="0" borderId="20" xfId="5" applyFont="1" applyBorder="1" applyAlignment="1">
      <alignment horizontal="center"/>
    </xf>
    <xf numFmtId="0" fontId="11" fillId="0" borderId="10" xfId="5" applyFont="1" applyBorder="1" applyAlignment="1">
      <alignment horizontal="center"/>
    </xf>
    <xf numFmtId="0" fontId="11" fillId="0" borderId="1" xfId="5" applyFont="1" applyBorder="1" applyAlignment="1">
      <alignment horizontal="center"/>
    </xf>
    <xf numFmtId="0" fontId="11" fillId="0" borderId="21" xfId="5" applyFont="1" applyBorder="1" applyAlignment="1">
      <alignment horizontal="center"/>
    </xf>
    <xf numFmtId="0" fontId="11" fillId="0" borderId="59" xfId="5" applyFont="1" applyBorder="1" applyAlignment="1">
      <alignment horizontal="center"/>
    </xf>
    <xf numFmtId="0" fontId="11" fillId="0" borderId="60" xfId="5" applyFont="1" applyBorder="1" applyAlignment="1">
      <alignment horizontal="center"/>
    </xf>
    <xf numFmtId="0" fontId="11" fillId="0" borderId="61" xfId="5" applyFont="1" applyBorder="1" applyAlignment="1">
      <alignment horizontal="center"/>
    </xf>
    <xf numFmtId="0" fontId="11" fillId="0" borderId="47" xfId="5" applyFont="1" applyBorder="1" applyAlignment="1">
      <alignment horizontal="center"/>
    </xf>
    <xf numFmtId="0" fontId="11" fillId="0" borderId="48" xfId="5" applyFont="1" applyBorder="1" applyAlignment="1">
      <alignment horizontal="center"/>
    </xf>
    <xf numFmtId="0" fontId="11" fillId="0" borderId="5" xfId="5" applyFont="1" applyBorder="1" applyAlignment="1">
      <alignment horizontal="center"/>
    </xf>
    <xf numFmtId="3" fontId="5" fillId="11" borderId="10" xfId="7" applyNumberFormat="1" applyFont="1" applyFill="1" applyBorder="1" applyAlignment="1" applyProtection="1">
      <alignment horizontal="center" vertical="center" wrapText="1"/>
      <protection locked="0"/>
    </xf>
    <xf numFmtId="3" fontId="5" fillId="11" borderId="1" xfId="7" applyNumberFormat="1" applyFont="1" applyFill="1" applyBorder="1" applyAlignment="1" applyProtection="1">
      <alignment horizontal="center" vertical="center" wrapText="1"/>
      <protection locked="0"/>
    </xf>
    <xf numFmtId="3" fontId="5" fillId="11" borderId="21" xfId="7" applyNumberFormat="1" applyFont="1" applyFill="1" applyBorder="1" applyAlignment="1" applyProtection="1">
      <alignment horizontal="center" vertical="center" wrapText="1"/>
      <protection locked="0"/>
    </xf>
    <xf numFmtId="3" fontId="5" fillId="11" borderId="59" xfId="7" applyNumberFormat="1" applyFont="1" applyFill="1" applyBorder="1" applyAlignment="1" applyProtection="1">
      <alignment horizontal="center" vertical="center" wrapText="1"/>
      <protection locked="0"/>
    </xf>
    <xf numFmtId="3" fontId="5" fillId="11" borderId="60" xfId="7" applyNumberFormat="1" applyFont="1" applyFill="1" applyBorder="1" applyAlignment="1" applyProtection="1">
      <alignment horizontal="center" vertical="center" wrapText="1"/>
      <protection locked="0"/>
    </xf>
    <xf numFmtId="3" fontId="5" fillId="11" borderId="61" xfId="7" applyNumberFormat="1" applyFont="1" applyFill="1" applyBorder="1" applyAlignment="1" applyProtection="1">
      <alignment horizontal="center" vertical="center" wrapText="1"/>
      <protection locked="0"/>
    </xf>
    <xf numFmtId="0" fontId="21" fillId="7" borderId="58" xfId="0" applyFont="1" applyFill="1" applyBorder="1" applyAlignment="1">
      <alignment horizontal="center" vertical="top" wrapText="1" readingOrder="1"/>
    </xf>
    <xf numFmtId="0" fontId="21" fillId="7" borderId="70" xfId="0" applyFont="1" applyFill="1" applyBorder="1" applyAlignment="1">
      <alignment horizontal="center" vertical="top" wrapText="1" readingOrder="1"/>
    </xf>
    <xf numFmtId="0" fontId="21" fillId="7" borderId="77" xfId="0" applyFont="1" applyFill="1" applyBorder="1" applyAlignment="1">
      <alignment horizontal="center" vertical="top" wrapText="1" readingOrder="1"/>
    </xf>
    <xf numFmtId="0" fontId="21" fillId="2" borderId="19" xfId="0" applyFont="1" applyFill="1" applyBorder="1" applyAlignment="1">
      <alignment horizontal="center" vertical="center" readingOrder="1"/>
    </xf>
    <xf numFmtId="0" fontId="21" fillId="2" borderId="17" xfId="0" applyFont="1" applyFill="1" applyBorder="1" applyAlignment="1">
      <alignment horizontal="center" vertical="center" readingOrder="1"/>
    </xf>
    <xf numFmtId="0" fontId="21" fillId="2" borderId="10" xfId="0" applyFont="1" applyFill="1" applyBorder="1" applyAlignment="1">
      <alignment horizontal="center" vertical="center" readingOrder="1"/>
    </xf>
    <xf numFmtId="0" fontId="21" fillId="2" borderId="1" xfId="0" applyFont="1" applyFill="1" applyBorder="1" applyAlignment="1">
      <alignment horizontal="center" vertical="center" readingOrder="1"/>
    </xf>
    <xf numFmtId="3" fontId="21" fillId="2" borderId="17" xfId="0" applyNumberFormat="1" applyFont="1" applyFill="1" applyBorder="1" applyAlignment="1">
      <alignment horizontal="center" vertical="center" wrapText="1" readingOrder="1"/>
    </xf>
    <xf numFmtId="0" fontId="21" fillId="7" borderId="28" xfId="0" applyFont="1" applyFill="1" applyBorder="1" applyAlignment="1">
      <alignment vertical="top" wrapText="1" readingOrder="1"/>
    </xf>
    <xf numFmtId="0" fontId="21" fillId="7" borderId="40" xfId="0" applyFont="1" applyFill="1" applyBorder="1" applyAlignment="1">
      <alignment vertical="top" wrapText="1" readingOrder="1"/>
    </xf>
    <xf numFmtId="3" fontId="43" fillId="11" borderId="16" xfId="7" applyNumberFormat="1" applyFont="1" applyFill="1" applyBorder="1" applyAlignment="1" applyProtection="1">
      <alignment horizontal="left" vertical="center" wrapText="1"/>
      <protection locked="0"/>
    </xf>
    <xf numFmtId="3" fontId="43" fillId="11" borderId="54" xfId="7" applyNumberFormat="1" applyFont="1" applyFill="1" applyBorder="1" applyAlignment="1" applyProtection="1">
      <alignment horizontal="left" vertical="center" wrapText="1"/>
      <protection locked="0"/>
    </xf>
    <xf numFmtId="3" fontId="43" fillId="11" borderId="55" xfId="7" applyNumberFormat="1" applyFont="1" applyFill="1" applyBorder="1" applyAlignment="1" applyProtection="1">
      <alignment horizontal="left" vertical="center" wrapText="1"/>
      <protection locked="0"/>
    </xf>
    <xf numFmtId="3" fontId="43" fillId="11" borderId="18" xfId="7" applyNumberFormat="1" applyFont="1" applyFill="1" applyBorder="1" applyAlignment="1" applyProtection="1">
      <alignment horizontal="left" vertical="center" wrapText="1"/>
      <protection locked="0"/>
    </xf>
    <xf numFmtId="3" fontId="43" fillId="11" borderId="0" xfId="7" applyNumberFormat="1" applyFont="1" applyFill="1" applyBorder="1" applyAlignment="1" applyProtection="1">
      <alignment horizontal="left" vertical="center" wrapText="1"/>
      <protection locked="0"/>
    </xf>
    <xf numFmtId="3" fontId="43" fillId="11" borderId="57" xfId="7" applyNumberFormat="1" applyFont="1" applyFill="1" applyBorder="1" applyAlignment="1" applyProtection="1">
      <alignment horizontal="left" vertical="center" wrapText="1"/>
      <protection locked="0"/>
    </xf>
    <xf numFmtId="0" fontId="21" fillId="7" borderId="25" xfId="0" applyFont="1" applyFill="1" applyBorder="1" applyAlignment="1">
      <alignment horizontal="left" vertical="center" wrapText="1" readingOrder="1"/>
    </xf>
    <xf numFmtId="0" fontId="21" fillId="7" borderId="40" xfId="0" applyFont="1" applyFill="1" applyBorder="1" applyAlignment="1">
      <alignment horizontal="left" vertical="center" wrapText="1" readingOrder="1"/>
    </xf>
    <xf numFmtId="0" fontId="21" fillId="7" borderId="36" xfId="0" applyFont="1" applyFill="1" applyBorder="1" applyAlignment="1">
      <alignment horizontal="left" vertical="center" wrapText="1" readingOrder="1"/>
    </xf>
    <xf numFmtId="3" fontId="21" fillId="0" borderId="49" xfId="0" applyNumberFormat="1" applyFont="1" applyBorder="1" applyAlignment="1">
      <alignment horizontal="left" vertical="top" wrapText="1" readingOrder="1"/>
    </xf>
    <xf numFmtId="3" fontId="21" fillId="0" borderId="58" xfId="0" applyNumberFormat="1" applyFont="1" applyBorder="1" applyAlignment="1">
      <alignment horizontal="left" vertical="top" wrapText="1" readingOrder="1"/>
    </xf>
    <xf numFmtId="3" fontId="22" fillId="0" borderId="49" xfId="0" applyNumberFormat="1" applyFont="1" applyBorder="1" applyAlignment="1">
      <alignment horizontal="center" vertical="top" wrapText="1" readingOrder="1"/>
    </xf>
    <xf numFmtId="0" fontId="22" fillId="2" borderId="37" xfId="0" applyFont="1" applyFill="1" applyBorder="1" applyAlignment="1">
      <alignment horizontal="left" vertical="center" wrapText="1" readingOrder="1"/>
    </xf>
    <xf numFmtId="0" fontId="22" fillId="2" borderId="38" xfId="0" applyFont="1" applyFill="1" applyBorder="1" applyAlignment="1">
      <alignment horizontal="left" vertical="center" wrapText="1" readingOrder="1"/>
    </xf>
    <xf numFmtId="0" fontId="22" fillId="2" borderId="39" xfId="0" applyFont="1" applyFill="1" applyBorder="1" applyAlignment="1">
      <alignment horizontal="left" vertical="center" wrapText="1" readingOrder="1"/>
    </xf>
    <xf numFmtId="3" fontId="5" fillId="11" borderId="37" xfId="7" applyNumberFormat="1" applyFont="1" applyFill="1" applyBorder="1" applyAlignment="1" applyProtection="1">
      <alignment horizontal="center" vertical="center" wrapText="1"/>
      <protection locked="0"/>
    </xf>
    <xf numFmtId="3" fontId="5" fillId="11" borderId="38" xfId="7" applyNumberFormat="1" applyFont="1" applyFill="1" applyBorder="1" applyAlignment="1" applyProtection="1">
      <alignment horizontal="center" vertical="center" wrapText="1"/>
      <protection locked="0"/>
    </xf>
    <xf numFmtId="3" fontId="5" fillId="11" borderId="39" xfId="7" applyNumberFormat="1" applyFont="1" applyFill="1" applyBorder="1" applyAlignment="1" applyProtection="1">
      <alignment horizontal="center" vertical="center" wrapText="1"/>
      <protection locked="0"/>
    </xf>
    <xf numFmtId="0" fontId="21" fillId="7" borderId="51" xfId="0" applyFont="1" applyFill="1" applyBorder="1" applyAlignment="1">
      <alignment horizontal="left" vertical="center" wrapText="1" readingOrder="1"/>
    </xf>
    <xf numFmtId="0" fontId="21" fillId="7" borderId="52" xfId="0" applyFont="1" applyFill="1" applyBorder="1" applyAlignment="1">
      <alignment horizontal="left" vertical="center" wrapText="1" readingOrder="1"/>
    </xf>
    <xf numFmtId="0" fontId="21" fillId="7" borderId="53" xfId="0" applyFont="1" applyFill="1" applyBorder="1" applyAlignment="1">
      <alignment horizontal="left" vertical="center" wrapText="1" readingOrder="1"/>
    </xf>
    <xf numFmtId="0" fontId="22" fillId="11" borderId="56" xfId="0" applyFont="1" applyFill="1" applyBorder="1" applyAlignment="1">
      <alignment horizontal="center" vertical="center" wrapText="1" readingOrder="1"/>
    </xf>
    <xf numFmtId="0" fontId="22" fillId="11" borderId="32" xfId="0" applyFont="1" applyFill="1" applyBorder="1" applyAlignment="1">
      <alignment horizontal="center" vertical="center" wrapText="1" readingOrder="1"/>
    </xf>
    <xf numFmtId="0" fontId="22" fillId="11" borderId="33" xfId="0" applyFont="1" applyFill="1" applyBorder="1" applyAlignment="1">
      <alignment horizontal="center" vertical="center" wrapText="1" readingOrder="1"/>
    </xf>
    <xf numFmtId="168" fontId="22" fillId="0" borderId="26" xfId="0" applyNumberFormat="1" applyFont="1" applyFill="1" applyBorder="1" applyAlignment="1">
      <alignment horizontal="center" vertical="center" wrapText="1" readingOrder="1"/>
    </xf>
    <xf numFmtId="168" fontId="22" fillId="0" borderId="27" xfId="0" applyNumberFormat="1" applyFont="1" applyFill="1" applyBorder="1" applyAlignment="1">
      <alignment horizontal="center" vertical="center" wrapText="1" readingOrder="1"/>
    </xf>
    <xf numFmtId="0" fontId="21" fillId="7" borderId="25" xfId="0" applyFont="1" applyFill="1" applyBorder="1" applyAlignment="1">
      <alignment horizontal="center" vertical="center" wrapText="1" readingOrder="1"/>
    </xf>
    <xf numFmtId="0" fontId="21" fillId="7" borderId="27" xfId="0" applyFont="1" applyFill="1" applyBorder="1" applyAlignment="1">
      <alignment horizontal="center" vertical="center" wrapText="1" readingOrder="1"/>
    </xf>
    <xf numFmtId="0" fontId="22" fillId="0" borderId="25" xfId="0" applyFont="1" applyBorder="1" applyAlignment="1">
      <alignment horizontal="center" vertical="center" wrapText="1" readingOrder="1"/>
    </xf>
    <xf numFmtId="0" fontId="22" fillId="0" borderId="26" xfId="0" applyFont="1" applyBorder="1" applyAlignment="1">
      <alignment horizontal="center" vertical="center" wrapText="1" readingOrder="1"/>
    </xf>
    <xf numFmtId="0" fontId="22" fillId="0" borderId="27" xfId="0" applyFont="1" applyBorder="1" applyAlignment="1">
      <alignment horizontal="center" vertical="center" wrapText="1" readingOrder="1"/>
    </xf>
    <xf numFmtId="3" fontId="22" fillId="0" borderId="37" xfId="0" applyNumberFormat="1" applyFont="1" applyBorder="1" applyAlignment="1">
      <alignment horizontal="center" vertical="top" wrapText="1" readingOrder="1"/>
    </xf>
    <xf numFmtId="3" fontId="22" fillId="0" borderId="38" xfId="0" applyNumberFormat="1" applyFont="1" applyBorder="1" applyAlignment="1">
      <alignment horizontal="center" vertical="top" wrapText="1" readingOrder="1"/>
    </xf>
    <xf numFmtId="3" fontId="22" fillId="0" borderId="39" xfId="0" applyNumberFormat="1" applyFont="1" applyBorder="1" applyAlignment="1">
      <alignment horizontal="center" vertical="top" wrapText="1" readingOrder="1"/>
    </xf>
    <xf numFmtId="3" fontId="21" fillId="2" borderId="1" xfId="0" applyNumberFormat="1" applyFont="1" applyFill="1" applyBorder="1" applyAlignment="1">
      <alignment horizontal="center" vertical="center" wrapText="1" readingOrder="1"/>
    </xf>
    <xf numFmtId="0" fontId="21" fillId="2" borderId="20" xfId="0" applyFont="1" applyFill="1" applyBorder="1" applyAlignment="1">
      <alignment horizontal="center" vertical="center" readingOrder="1"/>
    </xf>
    <xf numFmtId="0" fontId="21" fillId="2" borderId="21" xfId="0" applyFont="1" applyFill="1" applyBorder="1" applyAlignment="1">
      <alignment horizontal="center" vertical="center" readingOrder="1"/>
    </xf>
    <xf numFmtId="0" fontId="21" fillId="7" borderId="58" xfId="0" applyFont="1" applyFill="1" applyBorder="1" applyAlignment="1">
      <alignment horizontal="left" vertical="center" wrapText="1" readingOrder="1"/>
    </xf>
    <xf numFmtId="0" fontId="21" fillId="7" borderId="70" xfId="0" applyFont="1" applyFill="1" applyBorder="1" applyAlignment="1">
      <alignment horizontal="left" vertical="center" wrapText="1" readingOrder="1"/>
    </xf>
    <xf numFmtId="3" fontId="22" fillId="0" borderId="58" xfId="0" applyNumberFormat="1" applyFont="1" applyBorder="1" applyAlignment="1">
      <alignment horizontal="center" vertical="top" wrapText="1" readingOrder="1"/>
    </xf>
    <xf numFmtId="0" fontId="23" fillId="11" borderId="37" xfId="0" applyFont="1" applyFill="1" applyBorder="1" applyAlignment="1">
      <alignment horizontal="center" vertical="center" readingOrder="1"/>
    </xf>
    <xf numFmtId="0" fontId="23" fillId="11" borderId="38" xfId="0" applyFont="1" applyFill="1" applyBorder="1" applyAlignment="1">
      <alignment horizontal="center" vertical="center" readingOrder="1"/>
    </xf>
    <xf numFmtId="0" fontId="23" fillId="11" borderId="39" xfId="0" applyFont="1" applyFill="1" applyBorder="1" applyAlignment="1">
      <alignment horizontal="center" vertical="center" readingOrder="1"/>
    </xf>
    <xf numFmtId="3" fontId="22" fillId="0" borderId="22" xfId="0" applyNumberFormat="1" applyFont="1" applyBorder="1" applyAlignment="1">
      <alignment horizontal="center" vertical="center" wrapText="1" readingOrder="1"/>
    </xf>
    <xf numFmtId="3" fontId="22" fillId="0" borderId="23" xfId="0" applyNumberFormat="1" applyFont="1" applyBorder="1" applyAlignment="1">
      <alignment horizontal="center" vertical="center" wrapText="1" readingOrder="1"/>
    </xf>
    <xf numFmtId="0" fontId="22" fillId="0" borderId="31" xfId="0" applyFont="1" applyBorder="1" applyAlignment="1">
      <alignment horizontal="center" vertical="center" wrapText="1" readingOrder="1"/>
    </xf>
    <xf numFmtId="0" fontId="22" fillId="0" borderId="32" xfId="0" applyFont="1" applyBorder="1" applyAlignment="1">
      <alignment horizontal="center" vertical="center" wrapText="1" readingOrder="1"/>
    </xf>
    <xf numFmtId="0" fontId="22" fillId="0" borderId="33" xfId="0" applyFont="1" applyBorder="1" applyAlignment="1">
      <alignment horizontal="center" vertical="center" wrapText="1" readingOrder="1"/>
    </xf>
    <xf numFmtId="0" fontId="21" fillId="7" borderId="34" xfId="0" applyFont="1" applyFill="1" applyBorder="1" applyAlignment="1">
      <alignment horizontal="center" vertical="center" wrapText="1" readingOrder="1"/>
    </xf>
    <xf numFmtId="0" fontId="21" fillId="7" borderId="35" xfId="0" applyFont="1" applyFill="1" applyBorder="1" applyAlignment="1">
      <alignment horizontal="center" vertical="center" wrapText="1" readingOrder="1"/>
    </xf>
    <xf numFmtId="166" fontId="22" fillId="0" borderId="25" xfId="0" applyNumberFormat="1" applyFont="1" applyBorder="1" applyAlignment="1">
      <alignment horizontal="center" vertical="center" wrapText="1" readingOrder="1"/>
    </xf>
    <xf numFmtId="166" fontId="22" fillId="0" borderId="26" xfId="0" applyNumberFormat="1" applyFont="1" applyBorder="1" applyAlignment="1">
      <alignment horizontal="center" vertical="center" wrapText="1" readingOrder="1"/>
    </xf>
    <xf numFmtId="166" fontId="22" fillId="0" borderId="27" xfId="0" applyNumberFormat="1" applyFont="1" applyBorder="1" applyAlignment="1">
      <alignment horizontal="center" vertical="center" wrapText="1" readingOrder="1"/>
    </xf>
    <xf numFmtId="0" fontId="21" fillId="7" borderId="29" xfId="0" applyFont="1" applyFill="1" applyBorder="1" applyAlignment="1">
      <alignment horizontal="center" vertical="center" wrapText="1" readingOrder="1"/>
    </xf>
    <xf numFmtId="0" fontId="21" fillId="7" borderId="30" xfId="0" applyFont="1" applyFill="1" applyBorder="1" applyAlignment="1">
      <alignment horizontal="center" vertical="center" wrapText="1" readingOrder="1"/>
    </xf>
    <xf numFmtId="0" fontId="22" fillId="11" borderId="37" xfId="0" applyFont="1" applyFill="1" applyBorder="1" applyAlignment="1">
      <alignment horizontal="left" vertical="center" wrapText="1" readingOrder="1"/>
    </xf>
    <xf numFmtId="0" fontId="22" fillId="11" borderId="38" xfId="0" applyFont="1" applyFill="1" applyBorder="1" applyAlignment="1">
      <alignment horizontal="left" vertical="center" wrapText="1" readingOrder="1"/>
    </xf>
    <xf numFmtId="0" fontId="22" fillId="11" borderId="39" xfId="0" applyFont="1" applyFill="1" applyBorder="1" applyAlignment="1">
      <alignment horizontal="left" vertical="center" wrapText="1" readingOrder="1"/>
    </xf>
    <xf numFmtId="3" fontId="22" fillId="0" borderId="37" xfId="0" applyNumberFormat="1" applyFont="1" applyBorder="1" applyAlignment="1">
      <alignment horizontal="left" vertical="center" wrapText="1" readingOrder="1"/>
    </xf>
    <xf numFmtId="3" fontId="22" fillId="0" borderId="38" xfId="0" applyNumberFormat="1" applyFont="1" applyBorder="1" applyAlignment="1">
      <alignment horizontal="left" vertical="center" wrapText="1" readingOrder="1"/>
    </xf>
    <xf numFmtId="3" fontId="22" fillId="0" borderId="39" xfId="0" applyNumberFormat="1" applyFont="1" applyBorder="1" applyAlignment="1">
      <alignment horizontal="left" vertical="center" wrapText="1" readingOrder="1"/>
    </xf>
    <xf numFmtId="0" fontId="27" fillId="0" borderId="1" xfId="5" applyFont="1" applyFill="1" applyBorder="1" applyAlignment="1">
      <alignment horizontal="left" vertical="center" wrapText="1"/>
    </xf>
    <xf numFmtId="0" fontId="26" fillId="20" borderId="12" xfId="5" applyFont="1" applyFill="1" applyBorder="1" applyAlignment="1">
      <alignment horizontal="left" vertical="center" wrapText="1"/>
    </xf>
    <xf numFmtId="0" fontId="26" fillId="20" borderId="14" xfId="5" applyFont="1" applyFill="1" applyBorder="1" applyAlignment="1">
      <alignment horizontal="left" vertical="center" wrapText="1"/>
    </xf>
    <xf numFmtId="0" fontId="27" fillId="0" borderId="1" xfId="5" applyFont="1" applyFill="1" applyBorder="1" applyAlignment="1">
      <alignment horizontal="left" vertical="top" wrapText="1"/>
    </xf>
    <xf numFmtId="0" fontId="27" fillId="0" borderId="17" xfId="5" applyFont="1" applyFill="1" applyBorder="1" applyAlignment="1">
      <alignment horizontal="justify" vertical="top" wrapText="1"/>
    </xf>
    <xf numFmtId="0" fontId="27" fillId="0" borderId="20" xfId="5" applyFont="1" applyFill="1" applyBorder="1" applyAlignment="1">
      <alignment horizontal="justify" vertical="top" wrapText="1"/>
    </xf>
    <xf numFmtId="0" fontId="27" fillId="0" borderId="1" xfId="5" applyFont="1" applyFill="1" applyBorder="1" applyAlignment="1">
      <alignment horizontal="center" vertical="top" wrapText="1"/>
    </xf>
    <xf numFmtId="0" fontId="26" fillId="20" borderId="12" xfId="5" applyFont="1" applyFill="1" applyBorder="1" applyAlignment="1">
      <alignment horizontal="center" vertical="top" wrapText="1"/>
    </xf>
    <xf numFmtId="0" fontId="26" fillId="20" borderId="14" xfId="5" applyFont="1" applyFill="1" applyBorder="1" applyAlignment="1">
      <alignment horizontal="center" vertical="top" wrapText="1"/>
    </xf>
    <xf numFmtId="0" fontId="26" fillId="20" borderId="13" xfId="5" applyFont="1" applyFill="1" applyBorder="1" applyAlignment="1">
      <alignment horizontal="left" vertical="center" wrapText="1"/>
    </xf>
    <xf numFmtId="0" fontId="27" fillId="0" borderId="1" xfId="5" applyFont="1" applyFill="1" applyBorder="1" applyAlignment="1">
      <alignment horizontal="center" vertical="center" wrapText="1"/>
    </xf>
    <xf numFmtId="0" fontId="27" fillId="0" borderId="73" xfId="5" applyFont="1" applyFill="1" applyBorder="1" applyAlignment="1">
      <alignment horizontal="left" vertical="top" wrapText="1"/>
    </xf>
    <xf numFmtId="0" fontId="27" fillId="0" borderId="79" xfId="5" applyFont="1" applyFill="1" applyBorder="1" applyAlignment="1">
      <alignment horizontal="left" vertical="top" wrapText="1"/>
    </xf>
    <xf numFmtId="0" fontId="27" fillId="0" borderId="83" xfId="5" applyFont="1" applyFill="1" applyBorder="1" applyAlignment="1">
      <alignment horizontal="left" vertical="top" wrapText="1"/>
    </xf>
    <xf numFmtId="0" fontId="27" fillId="0" borderId="9" xfId="5" applyFont="1" applyFill="1" applyBorder="1" applyAlignment="1">
      <alignment horizontal="left" vertical="top" wrapText="1"/>
    </xf>
    <xf numFmtId="0" fontId="27" fillId="0" borderId="11" xfId="5" applyFont="1" applyFill="1" applyBorder="1" applyAlignment="1">
      <alignment horizontal="left" vertical="top" wrapText="1"/>
    </xf>
    <xf numFmtId="0" fontId="27" fillId="0" borderId="82" xfId="5" applyFont="1" applyFill="1" applyBorder="1" applyAlignment="1">
      <alignment horizontal="left" vertical="top" wrapText="1"/>
    </xf>
    <xf numFmtId="0" fontId="26" fillId="20" borderId="12" xfId="5" applyFont="1" applyFill="1" applyBorder="1" applyAlignment="1">
      <alignment horizontal="center" vertical="center" wrapText="1"/>
    </xf>
    <xf numFmtId="0" fontId="26" fillId="20" borderId="13" xfId="5" applyFont="1" applyFill="1" applyBorder="1" applyAlignment="1">
      <alignment horizontal="center" vertical="center" wrapText="1"/>
    </xf>
    <xf numFmtId="0" fontId="26" fillId="20" borderId="14" xfId="5" applyFont="1" applyFill="1" applyBorder="1" applyAlignment="1">
      <alignment horizontal="center" vertical="center" wrapText="1"/>
    </xf>
    <xf numFmtId="0" fontId="27" fillId="0" borderId="3" xfId="5" applyFont="1" applyFill="1" applyBorder="1" applyAlignment="1">
      <alignment horizontal="left" vertical="top" wrapText="1"/>
    </xf>
    <xf numFmtId="0" fontId="27" fillId="0" borderId="6" xfId="5" applyFont="1" applyFill="1" applyBorder="1" applyAlignment="1">
      <alignment horizontal="left" vertical="top" wrapText="1"/>
    </xf>
    <xf numFmtId="0" fontId="27" fillId="0" borderId="3" xfId="5" applyFont="1" applyFill="1" applyBorder="1" applyAlignment="1">
      <alignment horizontal="left" vertical="center" wrapText="1"/>
    </xf>
    <xf numFmtId="0" fontId="27" fillId="0" borderId="6" xfId="5" applyFont="1" applyFill="1" applyBorder="1" applyAlignment="1">
      <alignment horizontal="left" vertical="center" wrapText="1"/>
    </xf>
    <xf numFmtId="0" fontId="33" fillId="32" borderId="0" xfId="0" applyFont="1" applyFill="1" applyAlignment="1">
      <alignment horizontal="center"/>
    </xf>
    <xf numFmtId="0" fontId="68" fillId="0" borderId="0" xfId="0" applyFont="1"/>
    <xf numFmtId="0" fontId="36" fillId="21" borderId="1" xfId="0" applyFont="1" applyFill="1" applyBorder="1" applyAlignment="1">
      <alignment horizontal="center" vertical="center" wrapText="1"/>
    </xf>
    <xf numFmtId="1" fontId="19" fillId="3" borderId="46" xfId="0" applyNumberFormat="1" applyFont="1" applyFill="1" applyBorder="1" applyAlignment="1">
      <alignment horizontal="center"/>
    </xf>
    <xf numFmtId="1" fontId="19" fillId="3" borderId="0" xfId="0" applyNumberFormat="1" applyFont="1" applyFill="1" applyBorder="1" applyAlignment="1">
      <alignment horizontal="center"/>
    </xf>
    <xf numFmtId="1" fontId="19" fillId="3" borderId="2" xfId="0" applyNumberFormat="1" applyFont="1" applyFill="1" applyBorder="1" applyAlignment="1">
      <alignment horizontal="center"/>
    </xf>
    <xf numFmtId="0" fontId="20" fillId="3" borderId="46" xfId="0" applyFont="1" applyFill="1" applyBorder="1" applyAlignment="1">
      <alignment horizontal="center"/>
    </xf>
    <xf numFmtId="0" fontId="20" fillId="3" borderId="0" xfId="0" applyFont="1" applyFill="1" applyBorder="1" applyAlignment="1">
      <alignment horizontal="center"/>
    </xf>
    <xf numFmtId="0" fontId="20" fillId="3" borderId="2" xfId="0" applyFont="1" applyFill="1" applyBorder="1" applyAlignment="1">
      <alignment horizontal="center"/>
    </xf>
    <xf numFmtId="1" fontId="50" fillId="0" borderId="0" xfId="0" applyNumberFormat="1" applyFont="1" applyFill="1" applyBorder="1" applyAlignment="1">
      <alignment horizontal="center"/>
    </xf>
    <xf numFmtId="1" fontId="50" fillId="0" borderId="2" xfId="0" applyNumberFormat="1" applyFont="1" applyFill="1" applyBorder="1" applyAlignment="1">
      <alignment horizontal="center"/>
    </xf>
    <xf numFmtId="1" fontId="19" fillId="3" borderId="46" xfId="0" applyNumberFormat="1" applyFont="1" applyFill="1" applyBorder="1" applyAlignment="1">
      <alignment horizontal="center" vertical="center"/>
    </xf>
    <xf numFmtId="1" fontId="19" fillId="3" borderId="0" xfId="0" applyNumberFormat="1" applyFont="1" applyFill="1" applyBorder="1" applyAlignment="1">
      <alignment horizontal="center" vertical="center"/>
    </xf>
    <xf numFmtId="1" fontId="19" fillId="3" borderId="2" xfId="0" applyNumberFormat="1" applyFont="1" applyFill="1" applyBorder="1" applyAlignment="1">
      <alignment horizontal="center" vertical="center"/>
    </xf>
    <xf numFmtId="0" fontId="20" fillId="3" borderId="46" xfId="0" applyFont="1" applyFill="1" applyBorder="1" applyAlignment="1">
      <alignment horizontal="center" vertical="center"/>
    </xf>
    <xf numFmtId="0" fontId="20" fillId="3" borderId="0" xfId="0" applyFont="1" applyFill="1" applyBorder="1" applyAlignment="1">
      <alignment horizontal="center" vertical="center"/>
    </xf>
    <xf numFmtId="0" fontId="20" fillId="3" borderId="2" xfId="0" applyFont="1" applyFill="1" applyBorder="1" applyAlignment="1">
      <alignment horizontal="center" vertical="center"/>
    </xf>
    <xf numFmtId="0" fontId="21" fillId="0" borderId="9" xfId="0" applyFont="1" applyBorder="1" applyAlignment="1">
      <alignment horizontal="center" vertical="center"/>
    </xf>
    <xf numFmtId="0" fontId="21" fillId="0" borderId="11" xfId="0" applyFont="1" applyBorder="1" applyAlignment="1">
      <alignment horizontal="center" vertical="center"/>
    </xf>
    <xf numFmtId="0" fontId="21" fillId="0" borderId="7" xfId="0" applyFont="1" applyBorder="1" applyAlignment="1">
      <alignment horizontal="center" vertical="center"/>
    </xf>
    <xf numFmtId="0" fontId="2" fillId="8" borderId="46" xfId="0" applyFont="1" applyFill="1" applyBorder="1" applyAlignment="1">
      <alignment horizontal="center" vertical="top" wrapText="1"/>
    </xf>
    <xf numFmtId="0" fontId="2" fillId="8" borderId="2" xfId="0" applyFont="1" applyFill="1" applyBorder="1" applyAlignment="1">
      <alignment horizontal="center" vertical="top" wrapText="1"/>
    </xf>
    <xf numFmtId="9" fontId="2" fillId="3" borderId="1" xfId="0" applyNumberFormat="1" applyFont="1" applyFill="1" applyBorder="1" applyAlignment="1">
      <alignment horizontal="center"/>
    </xf>
    <xf numFmtId="9" fontId="2" fillId="3" borderId="9" xfId="0" applyNumberFormat="1" applyFont="1" applyFill="1" applyBorder="1" applyAlignment="1">
      <alignment horizontal="center"/>
    </xf>
    <xf numFmtId="0" fontId="2" fillId="8" borderId="47" xfId="0" applyFont="1" applyFill="1" applyBorder="1" applyAlignment="1">
      <alignment horizontal="center" vertical="center" wrapText="1"/>
    </xf>
    <xf numFmtId="0" fontId="2" fillId="8" borderId="5" xfId="0" applyFont="1" applyFill="1" applyBorder="1" applyAlignment="1">
      <alignment horizontal="center" vertical="center" wrapText="1"/>
    </xf>
    <xf numFmtId="9" fontId="62" fillId="0" borderId="1" xfId="0" applyNumberFormat="1" applyFont="1" applyBorder="1" applyAlignment="1">
      <alignment horizontal="center"/>
    </xf>
    <xf numFmtId="9" fontId="62" fillId="0" borderId="9" xfId="0" applyNumberFormat="1" applyFont="1" applyBorder="1" applyAlignment="1">
      <alignment horizontal="center"/>
    </xf>
    <xf numFmtId="0" fontId="15" fillId="9" borderId="46" xfId="0" applyFont="1" applyFill="1" applyBorder="1" applyAlignment="1">
      <alignment horizontal="center" vertical="center" wrapText="1"/>
    </xf>
    <xf numFmtId="0" fontId="15" fillId="9" borderId="0" xfId="0" applyFont="1" applyFill="1" applyBorder="1" applyAlignment="1">
      <alignment horizontal="center" vertical="center" wrapText="1"/>
    </xf>
    <xf numFmtId="0" fontId="15" fillId="9" borderId="2" xfId="0" applyFont="1" applyFill="1" applyBorder="1" applyAlignment="1">
      <alignment horizontal="center" vertical="center" wrapText="1"/>
    </xf>
    <xf numFmtId="0" fontId="34" fillId="0" borderId="47" xfId="0" applyFont="1" applyBorder="1" applyAlignment="1">
      <alignment horizontal="center" vertical="center"/>
    </xf>
    <xf numFmtId="0" fontId="34" fillId="0" borderId="48" xfId="0" applyFont="1" applyBorder="1" applyAlignment="1">
      <alignment horizontal="center" vertical="center"/>
    </xf>
    <xf numFmtId="0" fontId="34" fillId="0" borderId="5" xfId="0" applyFont="1" applyBorder="1" applyAlignment="1">
      <alignment horizontal="center" vertical="center"/>
    </xf>
    <xf numFmtId="0" fontId="34" fillId="0" borderId="9" xfId="0" applyFont="1" applyBorder="1" applyAlignment="1">
      <alignment horizontal="center" vertical="center"/>
    </xf>
    <xf numFmtId="0" fontId="34" fillId="0" borderId="11" xfId="0" applyFont="1" applyBorder="1" applyAlignment="1">
      <alignment horizontal="center" vertical="center"/>
    </xf>
    <xf numFmtId="0" fontId="2" fillId="8" borderId="46"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21" fillId="0" borderId="46" xfId="0" applyFont="1" applyBorder="1" applyAlignment="1">
      <alignment horizontal="center" vertical="center"/>
    </xf>
    <xf numFmtId="0" fontId="21" fillId="0" borderId="0" xfId="0" applyFont="1" applyBorder="1" applyAlignment="1">
      <alignment horizontal="center" vertical="center"/>
    </xf>
    <xf numFmtId="0" fontId="21" fillId="0" borderId="2" xfId="0" applyFont="1" applyBorder="1" applyAlignment="1">
      <alignment horizontal="center" vertical="center"/>
    </xf>
    <xf numFmtId="0" fontId="16" fillId="10" borderId="1" xfId="0" applyFont="1" applyFill="1" applyBorder="1" applyAlignment="1">
      <alignment horizontal="center"/>
    </xf>
    <xf numFmtId="0" fontId="16" fillId="10" borderId="9" xfId="0" applyFont="1" applyFill="1" applyBorder="1" applyAlignment="1">
      <alignment horizontal="center"/>
    </xf>
    <xf numFmtId="169" fontId="16" fillId="10" borderId="9" xfId="0" applyNumberFormat="1" applyFont="1" applyFill="1" applyBorder="1" applyAlignment="1">
      <alignment horizontal="center"/>
    </xf>
    <xf numFmtId="169" fontId="16" fillId="10" borderId="11" xfId="0" applyNumberFormat="1" applyFont="1" applyFill="1" applyBorder="1" applyAlignment="1">
      <alignment horizontal="center"/>
    </xf>
    <xf numFmtId="0" fontId="21" fillId="0" borderId="43" xfId="0" applyFont="1" applyBorder="1" applyAlignment="1">
      <alignment horizontal="center" vertical="center"/>
    </xf>
    <xf numFmtId="0" fontId="21" fillId="0" borderId="42" xfId="0" applyFont="1" applyBorder="1" applyAlignment="1">
      <alignment horizontal="center" vertical="center"/>
    </xf>
    <xf numFmtId="0" fontId="21" fillId="0" borderId="8" xfId="0" applyFont="1" applyBorder="1" applyAlignment="1">
      <alignment horizontal="center" vertical="center"/>
    </xf>
    <xf numFmtId="0" fontId="39" fillId="10" borderId="0" xfId="0" applyFont="1" applyFill="1" applyBorder="1" applyAlignment="1">
      <alignment horizontal="center"/>
    </xf>
    <xf numFmtId="9" fontId="10" fillId="3" borderId="47" xfId="1" applyFont="1" applyFill="1" applyBorder="1" applyAlignment="1">
      <alignment horizontal="center" vertical="center"/>
    </xf>
    <xf numFmtId="9" fontId="10" fillId="3" borderId="5" xfId="1" applyFont="1" applyFill="1" applyBorder="1" applyAlignment="1">
      <alignment horizontal="center" vertical="center"/>
    </xf>
    <xf numFmtId="0" fontId="16" fillId="10" borderId="46" xfId="0" applyFont="1" applyFill="1" applyBorder="1" applyAlignment="1">
      <alignment horizontal="center"/>
    </xf>
    <xf numFmtId="0" fontId="16" fillId="10" borderId="0" xfId="0" applyFont="1" applyFill="1" applyBorder="1" applyAlignment="1">
      <alignment horizontal="center"/>
    </xf>
    <xf numFmtId="0" fontId="67" fillId="31" borderId="46" xfId="0" applyFont="1" applyFill="1" applyBorder="1" applyAlignment="1">
      <alignment horizontal="center" vertical="center" wrapText="1"/>
    </xf>
    <xf numFmtId="0" fontId="67" fillId="31" borderId="2" xfId="0" applyFont="1" applyFill="1" applyBorder="1" applyAlignment="1">
      <alignment horizontal="center" vertical="center" wrapText="1"/>
    </xf>
    <xf numFmtId="0" fontId="67" fillId="31" borderId="47" xfId="0" applyFont="1" applyFill="1" applyBorder="1" applyAlignment="1">
      <alignment horizontal="center" vertical="center" wrapText="1"/>
    </xf>
    <xf numFmtId="0" fontId="67" fillId="31" borderId="5" xfId="0" applyFont="1" applyFill="1" applyBorder="1" applyAlignment="1">
      <alignment horizontal="center" vertical="center" wrapText="1"/>
    </xf>
    <xf numFmtId="0" fontId="26" fillId="2" borderId="1" xfId="3" applyFont="1" applyFill="1" applyBorder="1" applyAlignment="1">
      <alignment horizontal="center" vertical="center" textRotation="90" wrapText="1"/>
    </xf>
    <xf numFmtId="0" fontId="27" fillId="2" borderId="1" xfId="3" applyFont="1" applyFill="1" applyBorder="1" applyAlignment="1">
      <alignment horizontal="center" vertical="center" wrapText="1"/>
    </xf>
    <xf numFmtId="0" fontId="50" fillId="2" borderId="1" xfId="3" applyFont="1" applyFill="1" applyBorder="1" applyAlignment="1">
      <alignment horizontal="center" vertical="center" textRotation="90" wrapText="1"/>
    </xf>
    <xf numFmtId="0" fontId="22" fillId="2" borderId="1" xfId="3" applyFont="1" applyFill="1" applyBorder="1" applyAlignment="1">
      <alignment horizontal="center" vertical="center" wrapText="1"/>
    </xf>
    <xf numFmtId="0" fontId="10" fillId="0" borderId="3" xfId="0" applyFont="1" applyBorder="1" applyAlignment="1">
      <alignment horizontal="left" vertical="center" wrapText="1"/>
    </xf>
    <xf numFmtId="0" fontId="10" fillId="0" borderId="6" xfId="0" applyFont="1" applyBorder="1" applyAlignment="1">
      <alignment horizontal="left" vertical="center" wrapText="1"/>
    </xf>
    <xf numFmtId="0" fontId="24" fillId="3" borderId="1" xfId="0" applyFont="1" applyFill="1" applyBorder="1" applyAlignment="1">
      <alignment horizontal="center" vertical="center" wrapText="1"/>
    </xf>
    <xf numFmtId="0" fontId="10" fillId="0" borderId="8"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3" xfId="0" applyFont="1" applyBorder="1" applyAlignment="1">
      <alignment horizontal="left" vertical="top" wrapText="1"/>
    </xf>
    <xf numFmtId="0" fontId="10" fillId="0" borderId="6" xfId="0" applyFont="1" applyBorder="1" applyAlignment="1">
      <alignment horizontal="left" vertical="top" wrapText="1"/>
    </xf>
    <xf numFmtId="0" fontId="24" fillId="3" borderId="3" xfId="0" applyFont="1" applyFill="1" applyBorder="1" applyAlignment="1">
      <alignment horizontal="center" vertical="center" wrapText="1"/>
    </xf>
    <xf numFmtId="0" fontId="24" fillId="3" borderId="6" xfId="0" applyFont="1" applyFill="1" applyBorder="1" applyAlignment="1">
      <alignment horizontal="center" vertical="center" wrapText="1"/>
    </xf>
    <xf numFmtId="0" fontId="27" fillId="0" borderId="3" xfId="0" applyFont="1" applyBorder="1" applyAlignment="1">
      <alignment horizontal="left" vertical="top" wrapText="1"/>
    </xf>
    <xf numFmtId="0" fontId="27" fillId="0" borderId="6" xfId="0" applyFont="1" applyBorder="1" applyAlignment="1">
      <alignment horizontal="left" vertical="top" wrapText="1"/>
    </xf>
    <xf numFmtId="0" fontId="10" fillId="0" borderId="3" xfId="0" applyFont="1" applyFill="1" applyBorder="1" applyAlignment="1">
      <alignment horizontal="left" vertical="top" wrapText="1"/>
    </xf>
    <xf numFmtId="0" fontId="10" fillId="0" borderId="6" xfId="0" applyFont="1" applyFill="1" applyBorder="1" applyAlignment="1">
      <alignment horizontal="left" vertical="top" wrapText="1"/>
    </xf>
    <xf numFmtId="0" fontId="10" fillId="3" borderId="3" xfId="0" applyFont="1" applyFill="1" applyBorder="1" applyAlignment="1">
      <alignment horizontal="center" vertical="center" wrapText="1"/>
    </xf>
    <xf numFmtId="0" fontId="10" fillId="3" borderId="6" xfId="0" applyFont="1" applyFill="1" applyBorder="1" applyAlignment="1">
      <alignment horizontal="center" vertical="center" wrapText="1"/>
    </xf>
    <xf numFmtId="9" fontId="24" fillId="3" borderId="3" xfId="1" applyFont="1" applyFill="1" applyBorder="1" applyAlignment="1">
      <alignment horizontal="center" vertical="center" wrapText="1"/>
    </xf>
    <xf numFmtId="9" fontId="24" fillId="3" borderId="6" xfId="1" applyFont="1" applyFill="1" applyBorder="1" applyAlignment="1">
      <alignment horizontal="center" vertical="center" wrapText="1"/>
    </xf>
    <xf numFmtId="0" fontId="10" fillId="0" borderId="7" xfId="0" applyFont="1" applyBorder="1" applyAlignment="1">
      <alignment horizontal="center" vertical="center" wrapText="1"/>
    </xf>
    <xf numFmtId="0" fontId="10" fillId="3" borderId="3" xfId="0" applyFont="1" applyFill="1" applyBorder="1" applyAlignment="1">
      <alignment horizontal="left" vertical="top" wrapText="1"/>
    </xf>
    <xf numFmtId="0" fontId="10" fillId="3" borderId="6" xfId="0" applyFont="1" applyFill="1" applyBorder="1" applyAlignment="1">
      <alignment horizontal="left" vertical="top" wrapText="1"/>
    </xf>
    <xf numFmtId="0" fontId="10" fillId="0" borderId="7" xfId="0" applyFont="1" applyBorder="1" applyAlignment="1">
      <alignment horizontal="center" wrapText="1"/>
    </xf>
    <xf numFmtId="0" fontId="10" fillId="3" borderId="8"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0" borderId="9" xfId="0" applyFont="1" applyBorder="1"/>
    <xf numFmtId="0" fontId="10" fillId="0" borderId="7" xfId="0" applyFont="1" applyBorder="1"/>
    <xf numFmtId="0" fontId="10" fillId="3" borderId="3" xfId="0" applyFont="1" applyFill="1" applyBorder="1" applyAlignment="1">
      <alignment horizontal="left" vertical="center" wrapText="1"/>
    </xf>
    <xf numFmtId="0" fontId="10" fillId="3" borderId="6" xfId="0" applyFont="1" applyFill="1" applyBorder="1" applyAlignment="1">
      <alignment horizontal="left" vertical="center" wrapText="1"/>
    </xf>
    <xf numFmtId="0" fontId="56" fillId="0" borderId="1" xfId="0" applyFont="1" applyBorder="1" applyAlignment="1">
      <alignment horizontal="left" vertical="center" wrapText="1"/>
    </xf>
    <xf numFmtId="0" fontId="56" fillId="0" borderId="1" xfId="0" applyFont="1" applyFill="1" applyBorder="1" applyAlignment="1">
      <alignment horizontal="left" vertical="center" wrapText="1"/>
    </xf>
    <xf numFmtId="0" fontId="56" fillId="23" borderId="1" xfId="0" applyFont="1" applyFill="1" applyBorder="1" applyAlignment="1" applyProtection="1">
      <alignment horizontal="center" vertical="center" wrapText="1"/>
      <protection locked="0"/>
    </xf>
    <xf numFmtId="0" fontId="10" fillId="0" borderId="8" xfId="0" applyFont="1" applyFill="1" applyBorder="1" applyAlignment="1">
      <alignment horizontal="left" vertical="center" wrapText="1"/>
    </xf>
    <xf numFmtId="0" fontId="10" fillId="0" borderId="5" xfId="0" applyFont="1" applyFill="1" applyBorder="1" applyAlignment="1">
      <alignment horizontal="left" vertical="center" wrapText="1"/>
    </xf>
    <xf numFmtId="0" fontId="10" fillId="0" borderId="8" xfId="0" applyFont="1" applyFill="1" applyBorder="1" applyAlignment="1">
      <alignment horizontal="left" vertical="center"/>
    </xf>
    <xf numFmtId="0" fontId="10" fillId="0" borderId="5" xfId="0" applyFont="1" applyFill="1" applyBorder="1" applyAlignment="1">
      <alignment horizontal="left" vertical="center"/>
    </xf>
    <xf numFmtId="0" fontId="9" fillId="0" borderId="3" xfId="0" applyFont="1" applyBorder="1" applyAlignment="1">
      <alignment horizontal="center" vertical="center"/>
    </xf>
    <xf numFmtId="0" fontId="24" fillId="3" borderId="4" xfId="0" applyFont="1" applyFill="1" applyBorder="1" applyAlignment="1">
      <alignment horizontal="center" vertical="center" wrapText="1"/>
    </xf>
    <xf numFmtId="167" fontId="56" fillId="8" borderId="1" xfId="0" applyNumberFormat="1" applyFont="1" applyFill="1" applyBorder="1" applyAlignment="1" applyProtection="1">
      <alignment horizontal="center" vertical="center" wrapText="1"/>
      <protection locked="0"/>
    </xf>
    <xf numFmtId="0" fontId="9" fillId="0" borderId="1" xfId="0" applyFont="1" applyBorder="1" applyAlignment="1">
      <alignment horizontal="center" vertical="center" wrapText="1"/>
    </xf>
    <xf numFmtId="0" fontId="10" fillId="3" borderId="4" xfId="0" applyFont="1" applyFill="1" applyBorder="1" applyAlignment="1">
      <alignment horizontal="center" vertical="center" wrapText="1"/>
    </xf>
    <xf numFmtId="0" fontId="9" fillId="0" borderId="1" xfId="0" applyFont="1" applyBorder="1" applyAlignment="1">
      <alignment horizontal="center" vertical="top" wrapText="1"/>
    </xf>
    <xf numFmtId="0" fontId="10" fillId="0" borderId="42" xfId="0" applyFont="1" applyBorder="1" applyAlignment="1">
      <alignment horizontal="center" vertical="top" wrapText="1"/>
    </xf>
    <xf numFmtId="0" fontId="10" fillId="0" borderId="0" xfId="0" applyFont="1" applyAlignment="1">
      <alignment horizontal="center" vertical="top" wrapText="1"/>
    </xf>
    <xf numFmtId="0" fontId="10" fillId="0" borderId="48" xfId="0" applyFont="1" applyBorder="1" applyAlignment="1">
      <alignment horizontal="center" vertical="top" wrapText="1"/>
    </xf>
    <xf numFmtId="0" fontId="58" fillId="24" borderId="48" xfId="0" applyFont="1" applyFill="1" applyBorder="1" applyAlignment="1">
      <alignment horizontal="center" vertical="center"/>
    </xf>
    <xf numFmtId="0" fontId="58" fillId="24" borderId="5" xfId="0" applyFont="1" applyFill="1" applyBorder="1" applyAlignment="1">
      <alignment horizontal="center" vertical="center"/>
    </xf>
    <xf numFmtId="0" fontId="57" fillId="8" borderId="3" xfId="0" applyFont="1" applyFill="1" applyBorder="1" applyAlignment="1" applyProtection="1">
      <alignment horizontal="center" vertical="top" wrapText="1"/>
      <protection hidden="1"/>
    </xf>
    <xf numFmtId="0" fontId="57" fillId="8" borderId="6" xfId="0" applyFont="1" applyFill="1" applyBorder="1" applyAlignment="1" applyProtection="1">
      <alignment horizontal="center" vertical="top" wrapText="1"/>
      <protection hidden="1"/>
    </xf>
    <xf numFmtId="167" fontId="56" fillId="8" borderId="3" xfId="0" applyNumberFormat="1" applyFont="1" applyFill="1" applyBorder="1" applyAlignment="1" applyProtection="1">
      <alignment horizontal="center" vertical="center" wrapText="1"/>
      <protection locked="0"/>
    </xf>
    <xf numFmtId="167" fontId="56" fillId="8" borderId="4" xfId="0" applyNumberFormat="1" applyFont="1" applyFill="1" applyBorder="1" applyAlignment="1" applyProtection="1">
      <alignment horizontal="center" vertical="center" wrapText="1"/>
      <protection locked="0"/>
    </xf>
    <xf numFmtId="167" fontId="56" fillId="8" borderId="6" xfId="0" applyNumberFormat="1" applyFont="1" applyFill="1" applyBorder="1" applyAlignment="1" applyProtection="1">
      <alignment horizontal="center" vertical="center" wrapText="1"/>
      <protection locked="0"/>
    </xf>
    <xf numFmtId="0" fontId="57" fillId="8" borderId="1" xfId="0" applyFont="1" applyFill="1" applyBorder="1" applyAlignment="1" applyProtection="1">
      <alignment horizontal="center" vertical="center" wrapText="1"/>
      <protection hidden="1"/>
    </xf>
    <xf numFmtId="0" fontId="10" fillId="23" borderId="43" xfId="0" applyFont="1" applyFill="1" applyBorder="1" applyAlignment="1">
      <alignment horizontal="center" vertical="center"/>
    </xf>
    <xf numFmtId="0" fontId="10" fillId="23" borderId="8" xfId="0" applyFont="1" applyFill="1" applyBorder="1" applyAlignment="1">
      <alignment horizontal="center" vertical="center"/>
    </xf>
    <xf numFmtId="0" fontId="10" fillId="23" borderId="46" xfId="0" applyFont="1" applyFill="1" applyBorder="1" applyAlignment="1">
      <alignment horizontal="center" vertical="center"/>
    </xf>
    <xf numFmtId="0" fontId="10" fillId="23" borderId="2" xfId="0" applyFont="1" applyFill="1" applyBorder="1" applyAlignment="1">
      <alignment horizontal="center" vertical="center"/>
    </xf>
    <xf numFmtId="0" fontId="10" fillId="23" borderId="3" xfId="0" applyFont="1" applyFill="1" applyBorder="1" applyAlignment="1">
      <alignment horizontal="center" vertical="center"/>
    </xf>
    <xf numFmtId="0" fontId="10" fillId="23" borderId="4" xfId="0" applyFont="1" applyFill="1" applyBorder="1" applyAlignment="1">
      <alignment horizontal="center" vertical="center"/>
    </xf>
    <xf numFmtId="0" fontId="10" fillId="23" borderId="6" xfId="0" applyFont="1" applyFill="1" applyBorder="1" applyAlignment="1">
      <alignment horizontal="center" vertical="center"/>
    </xf>
    <xf numFmtId="0" fontId="10" fillId="23" borderId="1" xfId="0" applyFont="1" applyFill="1" applyBorder="1" applyAlignment="1">
      <alignment horizontal="center" vertical="center"/>
    </xf>
    <xf numFmtId="0" fontId="10" fillId="23" borderId="5" xfId="0" applyFont="1" applyFill="1" applyBorder="1" applyAlignment="1">
      <alignment horizontal="center" vertical="center"/>
    </xf>
    <xf numFmtId="0" fontId="10" fillId="23" borderId="3" xfId="0" applyFont="1" applyFill="1" applyBorder="1" applyAlignment="1">
      <alignment horizontal="left" vertical="center" wrapText="1"/>
    </xf>
    <xf numFmtId="0" fontId="10" fillId="23" borderId="4" xfId="0" applyFont="1" applyFill="1" applyBorder="1" applyAlignment="1">
      <alignment horizontal="left" vertical="center" wrapText="1"/>
    </xf>
    <xf numFmtId="0" fontId="10" fillId="23" borderId="6" xfId="0" applyFont="1" applyFill="1" applyBorder="1" applyAlignment="1">
      <alignment horizontal="left" vertical="center" wrapText="1"/>
    </xf>
    <xf numFmtId="0" fontId="10" fillId="0" borderId="3" xfId="0" applyFont="1" applyFill="1" applyBorder="1" applyAlignment="1">
      <alignment horizontal="left" vertical="center"/>
    </xf>
    <xf numFmtId="0" fontId="10" fillId="0" borderId="6" xfId="0" applyFont="1" applyFill="1" applyBorder="1" applyAlignment="1">
      <alignment horizontal="left" vertical="center"/>
    </xf>
    <xf numFmtId="0" fontId="25" fillId="2" borderId="8" xfId="0" applyFont="1" applyFill="1" applyBorder="1" applyAlignment="1">
      <alignment horizontal="center" vertical="center" wrapText="1"/>
    </xf>
    <xf numFmtId="0" fontId="25" fillId="2" borderId="5" xfId="0" applyFont="1" applyFill="1" applyBorder="1" applyAlignment="1">
      <alignment horizontal="center" vertical="center" wrapText="1"/>
    </xf>
    <xf numFmtId="0" fontId="36" fillId="28" borderId="102" xfId="0" applyFont="1" applyFill="1" applyBorder="1" applyAlignment="1">
      <alignment horizontal="center" vertical="center" wrapText="1"/>
    </xf>
    <xf numFmtId="0" fontId="36" fillId="28" borderId="104" xfId="0" applyFont="1" applyFill="1" applyBorder="1" applyAlignment="1">
      <alignment horizontal="center" vertical="center" wrapText="1"/>
    </xf>
    <xf numFmtId="1" fontId="10" fillId="3" borderId="105" xfId="1" applyNumberFormat="1" applyFont="1" applyFill="1" applyBorder="1" applyAlignment="1" applyProtection="1">
      <alignment horizontal="center" vertical="center"/>
      <protection locked="0"/>
    </xf>
    <xf numFmtId="1" fontId="10" fillId="3" borderId="11" xfId="1" applyNumberFormat="1" applyFont="1" applyFill="1" applyBorder="1" applyAlignment="1" applyProtection="1">
      <alignment horizontal="center" vertical="center"/>
      <protection locked="0"/>
    </xf>
    <xf numFmtId="1" fontId="10" fillId="3" borderId="7" xfId="1" applyNumberFormat="1" applyFont="1" applyFill="1" applyBorder="1" applyAlignment="1" applyProtection="1">
      <alignment horizontal="center" vertical="center"/>
      <protection locked="0"/>
    </xf>
    <xf numFmtId="0" fontId="36" fillId="19" borderId="100" xfId="0" applyFont="1" applyFill="1" applyBorder="1" applyAlignment="1">
      <alignment horizontal="center" vertical="center" wrapText="1"/>
    </xf>
    <xf numFmtId="0" fontId="36" fillId="19" borderId="101" xfId="0" applyFont="1" applyFill="1" applyBorder="1" applyAlignment="1">
      <alignment horizontal="center" vertical="center" wrapText="1"/>
    </xf>
    <xf numFmtId="1" fontId="10" fillId="0" borderId="105" xfId="1" applyNumberFormat="1" applyFont="1" applyFill="1" applyBorder="1" applyAlignment="1" applyProtection="1">
      <alignment horizontal="center" vertical="center"/>
      <protection locked="0"/>
    </xf>
    <xf numFmtId="1" fontId="10" fillId="0" borderId="11" xfId="1" applyNumberFormat="1" applyFont="1" applyFill="1" applyBorder="1" applyAlignment="1" applyProtection="1">
      <alignment horizontal="center" vertical="center"/>
      <protection locked="0"/>
    </xf>
    <xf numFmtId="1" fontId="10" fillId="0" borderId="98" xfId="1" applyNumberFormat="1" applyFont="1" applyFill="1" applyBorder="1" applyAlignment="1" applyProtection="1">
      <alignment horizontal="center" vertical="center"/>
      <protection locked="0"/>
    </xf>
    <xf numFmtId="37" fontId="10" fillId="8" borderId="105" xfId="7" applyNumberFormat="1" applyFont="1" applyFill="1" applyBorder="1" applyAlignment="1">
      <alignment horizontal="center" vertical="center" wrapText="1"/>
    </xf>
    <xf numFmtId="37" fontId="10" fillId="8" borderId="11" xfId="7" applyNumberFormat="1" applyFont="1" applyFill="1" applyBorder="1" applyAlignment="1">
      <alignment horizontal="center" vertical="center" wrapText="1"/>
    </xf>
    <xf numFmtId="37" fontId="10" fillId="8" borderId="98" xfId="7" applyNumberFormat="1" applyFont="1" applyFill="1" applyBorder="1" applyAlignment="1">
      <alignment horizontal="center" vertical="center" wrapText="1"/>
    </xf>
    <xf numFmtId="9" fontId="10" fillId="29" borderId="105" xfId="1" applyNumberFormat="1" applyFont="1" applyFill="1" applyBorder="1" applyAlignment="1">
      <alignment horizontal="center" vertical="center" wrapText="1"/>
    </xf>
    <xf numFmtId="9" fontId="10" fillId="29" borderId="11" xfId="1" applyNumberFormat="1" applyFont="1" applyFill="1" applyBorder="1" applyAlignment="1">
      <alignment horizontal="center" vertical="center" wrapText="1"/>
    </xf>
    <xf numFmtId="9" fontId="10" fillId="29" borderId="98" xfId="1" applyNumberFormat="1" applyFont="1" applyFill="1" applyBorder="1" applyAlignment="1">
      <alignment horizontal="center" vertical="center" wrapText="1"/>
    </xf>
    <xf numFmtId="0" fontId="33" fillId="0" borderId="3" xfId="0" applyFont="1" applyBorder="1" applyAlignment="1">
      <alignment horizontal="center" vertical="top" wrapText="1"/>
    </xf>
    <xf numFmtId="0" fontId="33" fillId="0" borderId="6" xfId="0" applyFont="1" applyBorder="1" applyAlignment="1">
      <alignment horizontal="center" vertical="top" wrapText="1"/>
    </xf>
    <xf numFmtId="0" fontId="25" fillId="2" borderId="8" xfId="0" applyFont="1" applyFill="1" applyBorder="1" applyAlignment="1">
      <alignment horizontal="center" vertical="center" textRotation="90" wrapText="1" readingOrder="1"/>
    </xf>
    <xf numFmtId="0" fontId="25" fillId="2" borderId="2" xfId="0" applyFont="1" applyFill="1" applyBorder="1" applyAlignment="1">
      <alignment horizontal="center" vertical="center" textRotation="90" wrapText="1" readingOrder="1"/>
    </xf>
    <xf numFmtId="0" fontId="25" fillId="2" borderId="5" xfId="0" applyFont="1" applyFill="1" applyBorder="1" applyAlignment="1">
      <alignment horizontal="center" vertical="center" textRotation="90" wrapText="1" readingOrder="1"/>
    </xf>
    <xf numFmtId="0" fontId="27" fillId="3" borderId="3" xfId="0" applyFont="1" applyFill="1" applyBorder="1" applyAlignment="1">
      <alignment horizontal="left" vertical="center" wrapText="1"/>
    </xf>
    <xf numFmtId="0" fontId="27" fillId="3" borderId="4" xfId="0" applyFont="1" applyFill="1" applyBorder="1" applyAlignment="1">
      <alignment horizontal="left" vertical="center" wrapText="1"/>
    </xf>
    <xf numFmtId="0" fontId="27" fillId="3" borderId="6" xfId="0" applyFont="1" applyFill="1" applyBorder="1" applyAlignment="1">
      <alignment horizontal="left" vertical="center" wrapText="1"/>
    </xf>
    <xf numFmtId="0" fontId="63" fillId="19" borderId="11" xfId="0" applyFont="1" applyFill="1" applyBorder="1" applyAlignment="1">
      <alignment horizontal="center" vertical="center" wrapText="1"/>
    </xf>
    <xf numFmtId="0" fontId="63" fillId="19" borderId="7" xfId="0" applyFont="1" applyFill="1" applyBorder="1" applyAlignment="1">
      <alignment horizontal="center" vertical="center" wrapText="1"/>
    </xf>
    <xf numFmtId="0" fontId="36" fillId="2" borderId="3" xfId="0" applyFont="1" applyFill="1" applyBorder="1" applyAlignment="1">
      <alignment horizontal="center" vertical="center" wrapText="1"/>
    </xf>
    <xf numFmtId="0" fontId="36" fillId="2" borderId="6" xfId="0" applyFont="1" applyFill="1" applyBorder="1" applyAlignment="1">
      <alignment horizontal="center" vertical="center" wrapText="1"/>
    </xf>
    <xf numFmtId="0" fontId="36" fillId="2" borderId="43" xfId="0" applyFont="1" applyFill="1" applyBorder="1" applyAlignment="1">
      <alignment horizontal="center" vertical="center" wrapText="1"/>
    </xf>
    <xf numFmtId="0" fontId="36" fillId="2" borderId="47" xfId="0" applyFont="1" applyFill="1" applyBorder="1" applyAlignment="1">
      <alignment horizontal="center" vertical="center" wrapText="1"/>
    </xf>
    <xf numFmtId="0" fontId="10" fillId="3" borderId="107" xfId="1" applyNumberFormat="1" applyFont="1" applyFill="1" applyBorder="1" applyAlignment="1" applyProtection="1">
      <alignment horizontal="center" vertical="center"/>
      <protection locked="0"/>
    </xf>
    <xf numFmtId="0" fontId="10" fillId="3" borderId="108" xfId="1" applyNumberFormat="1" applyFont="1" applyFill="1" applyBorder="1" applyAlignment="1" applyProtection="1">
      <alignment horizontal="center" vertical="center"/>
      <protection locked="0"/>
    </xf>
    <xf numFmtId="0" fontId="10" fillId="3" borderId="109" xfId="1" applyNumberFormat="1" applyFont="1" applyFill="1" applyBorder="1" applyAlignment="1" applyProtection="1">
      <alignment horizontal="center" vertical="center"/>
      <protection locked="0"/>
    </xf>
    <xf numFmtId="0" fontId="25" fillId="2" borderId="3" xfId="0" applyFont="1" applyFill="1" applyBorder="1" applyAlignment="1">
      <alignment horizontal="center" vertical="center" textRotation="90" wrapText="1"/>
    </xf>
    <xf numFmtId="0" fontId="25" fillId="2" borderId="4" xfId="0" applyFont="1" applyFill="1" applyBorder="1" applyAlignment="1">
      <alignment horizontal="center" vertical="center" textRotation="90" wrapText="1"/>
    </xf>
    <xf numFmtId="0" fontId="25" fillId="2" borderId="6" xfId="0" applyFont="1" applyFill="1" applyBorder="1" applyAlignment="1">
      <alignment horizontal="center" vertical="center" textRotation="90" wrapText="1"/>
    </xf>
    <xf numFmtId="0" fontId="33" fillId="0" borderId="3" xfId="0" applyFont="1" applyBorder="1" applyAlignment="1">
      <alignment horizontal="left" vertical="center" wrapText="1"/>
    </xf>
    <xf numFmtId="0" fontId="33" fillId="0" borderId="4" xfId="0" applyFont="1" applyBorder="1" applyAlignment="1">
      <alignment horizontal="left" vertical="center" wrapText="1"/>
    </xf>
    <xf numFmtId="0" fontId="33" fillId="0" borderId="6" xfId="0" applyFont="1" applyBorder="1" applyAlignment="1">
      <alignment horizontal="left" vertical="center" wrapText="1"/>
    </xf>
    <xf numFmtId="0" fontId="10" fillId="3" borderId="105" xfId="1" applyNumberFormat="1" applyFont="1" applyFill="1" applyBorder="1" applyAlignment="1" applyProtection="1">
      <alignment horizontal="center" vertical="center"/>
      <protection locked="0"/>
    </xf>
    <xf numFmtId="0" fontId="10" fillId="3" borderId="11" xfId="1" applyNumberFormat="1" applyFont="1" applyFill="1" applyBorder="1" applyAlignment="1" applyProtection="1">
      <alignment horizontal="center" vertical="center"/>
      <protection locked="0"/>
    </xf>
    <xf numFmtId="0" fontId="10" fillId="3" borderId="98" xfId="1" applyNumberFormat="1" applyFont="1" applyFill="1" applyBorder="1" applyAlignment="1" applyProtection="1">
      <alignment horizontal="center" vertical="center"/>
      <protection locked="0"/>
    </xf>
    <xf numFmtId="0" fontId="10" fillId="0" borderId="105" xfId="0" applyNumberFormat="1" applyFont="1" applyFill="1" applyBorder="1" applyAlignment="1" applyProtection="1">
      <alignment horizontal="center" vertical="center"/>
      <protection locked="0"/>
    </xf>
    <xf numFmtId="0" fontId="10" fillId="0" borderId="11" xfId="0" applyNumberFormat="1" applyFont="1" applyFill="1" applyBorder="1" applyAlignment="1" applyProtection="1">
      <alignment horizontal="center" vertical="center"/>
      <protection locked="0"/>
    </xf>
    <xf numFmtId="0" fontId="10" fillId="0" borderId="98" xfId="0" applyNumberFormat="1" applyFont="1" applyFill="1" applyBorder="1" applyAlignment="1" applyProtection="1">
      <alignment horizontal="center" vertical="center"/>
      <protection locked="0"/>
    </xf>
    <xf numFmtId="0" fontId="10" fillId="0" borderId="105" xfId="0" applyFont="1" applyFill="1" applyBorder="1" applyAlignment="1" applyProtection="1">
      <alignment horizontal="center" vertical="center" wrapText="1"/>
      <protection locked="0"/>
    </xf>
    <xf numFmtId="0" fontId="10" fillId="0" borderId="11" xfId="0" applyFont="1" applyFill="1" applyBorder="1" applyAlignment="1" applyProtection="1">
      <alignment horizontal="center" vertical="center" wrapText="1"/>
      <protection locked="0"/>
    </xf>
    <xf numFmtId="0" fontId="10" fillId="0" borderId="98" xfId="0" applyFont="1" applyFill="1" applyBorder="1" applyAlignment="1" applyProtection="1">
      <alignment horizontal="center" vertical="center" wrapText="1"/>
      <protection locked="0"/>
    </xf>
    <xf numFmtId="1" fontId="10" fillId="8" borderId="105" xfId="7" applyNumberFormat="1" applyFont="1" applyFill="1" applyBorder="1" applyAlignment="1">
      <alignment horizontal="center" vertical="center" wrapText="1"/>
    </xf>
    <xf numFmtId="1" fontId="10" fillId="8" borderId="11" xfId="7" applyNumberFormat="1" applyFont="1" applyFill="1" applyBorder="1" applyAlignment="1">
      <alignment horizontal="center" vertical="center" wrapText="1"/>
    </xf>
    <xf numFmtId="1" fontId="10" fillId="8" borderId="98" xfId="7" applyNumberFormat="1" applyFont="1" applyFill="1" applyBorder="1" applyAlignment="1">
      <alignment horizontal="center" vertical="center" wrapText="1"/>
    </xf>
    <xf numFmtId="0" fontId="36" fillId="19" borderId="110" xfId="0" applyFont="1" applyFill="1" applyBorder="1" applyAlignment="1">
      <alignment horizontal="center" vertical="center" wrapText="1"/>
    </xf>
    <xf numFmtId="0" fontId="36" fillId="28" borderId="111" xfId="0" applyFont="1" applyFill="1" applyBorder="1" applyAlignment="1">
      <alignment horizontal="center" vertical="center" wrapText="1"/>
    </xf>
    <xf numFmtId="0" fontId="36" fillId="28" borderId="97" xfId="0" applyFont="1" applyFill="1" applyBorder="1" applyAlignment="1">
      <alignment horizontal="center" vertical="center" wrapText="1"/>
    </xf>
    <xf numFmtId="1" fontId="10" fillId="8" borderId="107" xfId="7" applyNumberFormat="1" applyFont="1" applyFill="1" applyBorder="1" applyAlignment="1">
      <alignment horizontal="center" vertical="center" wrapText="1"/>
    </xf>
    <xf numFmtId="1" fontId="10" fillId="8" borderId="108" xfId="7" applyNumberFormat="1" applyFont="1" applyFill="1" applyBorder="1" applyAlignment="1">
      <alignment horizontal="center" vertical="center" wrapText="1"/>
    </xf>
    <xf numFmtId="1" fontId="10" fillId="8" borderId="109" xfId="7" applyNumberFormat="1" applyFont="1" applyFill="1" applyBorder="1" applyAlignment="1">
      <alignment horizontal="center" vertical="center" wrapText="1"/>
    </xf>
    <xf numFmtId="9" fontId="10" fillId="29" borderId="107" xfId="1" applyNumberFormat="1" applyFont="1" applyFill="1" applyBorder="1" applyAlignment="1">
      <alignment horizontal="center" vertical="center" wrapText="1"/>
    </xf>
    <xf numFmtId="9" fontId="10" fillId="29" borderId="108" xfId="1" applyNumberFormat="1" applyFont="1" applyFill="1" applyBorder="1" applyAlignment="1">
      <alignment horizontal="center" vertical="center" wrapText="1"/>
    </xf>
    <xf numFmtId="9" fontId="10" fillId="29" borderId="109" xfId="1" applyNumberFormat="1" applyFont="1" applyFill="1" applyBorder="1" applyAlignment="1">
      <alignment horizontal="center" vertical="center" wrapText="1"/>
    </xf>
    <xf numFmtId="0" fontId="10" fillId="0" borderId="107" xfId="0" applyNumberFormat="1" applyFont="1" applyFill="1" applyBorder="1" applyAlignment="1" applyProtection="1">
      <alignment horizontal="center" vertical="center"/>
      <protection locked="0"/>
    </xf>
    <xf numFmtId="0" fontId="10" fillId="0" borderId="108" xfId="0" applyNumberFormat="1" applyFont="1" applyFill="1" applyBorder="1" applyAlignment="1" applyProtection="1">
      <alignment horizontal="center" vertical="center"/>
      <protection locked="0"/>
    </xf>
    <xf numFmtId="0" fontId="10" fillId="0" borderId="109" xfId="0" applyNumberFormat="1" applyFont="1" applyFill="1" applyBorder="1" applyAlignment="1" applyProtection="1">
      <alignment horizontal="center" vertical="center"/>
      <protection locked="0"/>
    </xf>
    <xf numFmtId="1" fontId="25" fillId="8" borderId="105" xfId="7" applyNumberFormat="1" applyFont="1" applyFill="1" applyBorder="1" applyAlignment="1">
      <alignment horizontal="center" vertical="center" wrapText="1"/>
    </xf>
    <xf numFmtId="1" fontId="25" fillId="8" borderId="11" xfId="7" applyNumberFormat="1" applyFont="1" applyFill="1" applyBorder="1" applyAlignment="1">
      <alignment horizontal="center" vertical="center" wrapText="1"/>
    </xf>
    <xf numFmtId="1" fontId="25" fillId="8" borderId="98" xfId="7" applyNumberFormat="1" applyFont="1" applyFill="1" applyBorder="1" applyAlignment="1">
      <alignment horizontal="center" vertical="center" wrapText="1"/>
    </xf>
    <xf numFmtId="0" fontId="36" fillId="22" borderId="89" xfId="0" applyFont="1" applyFill="1" applyBorder="1" applyAlignment="1">
      <alignment horizontal="center" vertical="center"/>
    </xf>
    <xf numFmtId="0" fontId="36" fillId="22" borderId="87" xfId="0" applyFont="1" applyFill="1" applyBorder="1" applyAlignment="1">
      <alignment horizontal="center" vertical="center"/>
    </xf>
    <xf numFmtId="0" fontId="36" fillId="22" borderId="90" xfId="0" applyFont="1" applyFill="1" applyBorder="1" applyAlignment="1">
      <alignment horizontal="center" vertical="center"/>
    </xf>
    <xf numFmtId="0" fontId="36" fillId="22" borderId="121" xfId="0" applyFont="1" applyFill="1" applyBorder="1" applyAlignment="1">
      <alignment horizontal="center" vertical="center"/>
    </xf>
    <xf numFmtId="0" fontId="36" fillId="22" borderId="48" xfId="0" applyFont="1" applyFill="1" applyBorder="1" applyAlignment="1">
      <alignment horizontal="center" vertical="center"/>
    </xf>
    <xf numFmtId="0" fontId="36" fillId="22" borderId="122" xfId="0" applyFont="1" applyFill="1" applyBorder="1" applyAlignment="1">
      <alignment horizontal="center" vertical="center"/>
    </xf>
    <xf numFmtId="17" fontId="25" fillId="2" borderId="9" xfId="0" applyNumberFormat="1" applyFont="1" applyFill="1" applyBorder="1" applyAlignment="1">
      <alignment horizontal="center" vertical="center" wrapText="1"/>
    </xf>
    <xf numFmtId="9" fontId="25" fillId="2" borderId="11" xfId="0" applyNumberFormat="1" applyFont="1" applyFill="1" applyBorder="1" applyAlignment="1">
      <alignment horizontal="center" vertical="center" wrapText="1"/>
    </xf>
    <xf numFmtId="9" fontId="25" fillId="2" borderId="7" xfId="0" applyNumberFormat="1" applyFont="1" applyFill="1" applyBorder="1" applyAlignment="1">
      <alignment horizontal="center" vertical="center" wrapText="1"/>
    </xf>
    <xf numFmtId="9" fontId="25" fillId="2" borderId="98" xfId="0" applyNumberFormat="1" applyFont="1" applyFill="1" applyBorder="1" applyAlignment="1">
      <alignment horizontal="center" vertical="center" wrapText="1"/>
    </xf>
    <xf numFmtId="17" fontId="25" fillId="2" borderId="105" xfId="0" applyNumberFormat="1" applyFont="1" applyFill="1" applyBorder="1" applyAlignment="1">
      <alignment horizontal="center" vertical="center" wrapText="1"/>
    </xf>
    <xf numFmtId="0" fontId="36" fillId="22" borderId="102" xfId="0" applyFont="1" applyFill="1" applyBorder="1" applyAlignment="1">
      <alignment horizontal="center" vertical="center"/>
    </xf>
    <xf numFmtId="0" fontId="36" fillId="22" borderId="124" xfId="0" applyFont="1" applyFill="1" applyBorder="1" applyAlignment="1">
      <alignment horizontal="center" vertical="center"/>
    </xf>
    <xf numFmtId="0" fontId="36" fillId="22" borderId="104" xfId="0" applyFont="1" applyFill="1" applyBorder="1" applyAlignment="1">
      <alignment horizontal="center" vertical="center"/>
    </xf>
    <xf numFmtId="0" fontId="36" fillId="5" borderId="112" xfId="0" applyFont="1" applyFill="1" applyBorder="1" applyAlignment="1">
      <alignment horizontal="center"/>
    </xf>
    <xf numFmtId="0" fontId="36" fillId="5" borderId="113" xfId="0" applyFont="1" applyFill="1" applyBorder="1" applyAlignment="1">
      <alignment horizontal="center"/>
    </xf>
    <xf numFmtId="0" fontId="36" fillId="5" borderId="111" xfId="0" applyFont="1" applyFill="1" applyBorder="1" applyAlignment="1">
      <alignment horizontal="center"/>
    </xf>
    <xf numFmtId="0" fontId="36" fillId="5" borderId="119" xfId="0" applyFont="1" applyFill="1" applyBorder="1" applyAlignment="1">
      <alignment horizontal="center"/>
    </xf>
    <xf numFmtId="0" fontId="36" fillId="22" borderId="112" xfId="0" applyFont="1" applyFill="1" applyBorder="1" applyAlignment="1">
      <alignment horizontal="center" vertical="center"/>
    </xf>
    <xf numFmtId="0" fontId="36" fillId="22" borderId="103" xfId="0" applyFont="1" applyFill="1" applyBorder="1" applyAlignment="1">
      <alignment horizontal="center" vertical="center"/>
    </xf>
    <xf numFmtId="0" fontId="10" fillId="0" borderId="103" xfId="0" applyFont="1" applyBorder="1" applyAlignment="1">
      <alignment horizontal="center" vertical="center"/>
    </xf>
    <xf numFmtId="0" fontId="10" fillId="0" borderId="114" xfId="0" applyFont="1" applyBorder="1" applyAlignment="1">
      <alignment horizontal="center" vertical="center"/>
    </xf>
    <xf numFmtId="0" fontId="36" fillId="22" borderId="123" xfId="0" applyFont="1" applyFill="1" applyBorder="1" applyAlignment="1">
      <alignment horizontal="center" vertical="center" wrapText="1"/>
    </xf>
    <xf numFmtId="0" fontId="36" fillId="22" borderId="4" xfId="0" applyFont="1" applyFill="1" applyBorder="1" applyAlignment="1">
      <alignment horizontal="center" vertical="center" wrapText="1"/>
    </xf>
    <xf numFmtId="0" fontId="36" fillId="22" borderId="6" xfId="0" applyFont="1" applyFill="1" applyBorder="1" applyAlignment="1">
      <alignment horizontal="center" vertical="center" wrapText="1"/>
    </xf>
    <xf numFmtId="9" fontId="25" fillId="27" borderId="1" xfId="0" applyNumberFormat="1" applyFont="1" applyFill="1" applyBorder="1" applyAlignment="1">
      <alignment horizontal="center" vertical="center" wrapText="1"/>
    </xf>
    <xf numFmtId="1" fontId="27" fillId="8" borderId="9" xfId="0" applyNumberFormat="1" applyFont="1" applyFill="1" applyBorder="1" applyAlignment="1">
      <alignment horizontal="center" vertical="center" wrapText="1"/>
    </xf>
    <xf numFmtId="1" fontId="27" fillId="8" borderId="11" xfId="0" applyNumberFormat="1" applyFont="1" applyFill="1" applyBorder="1" applyAlignment="1">
      <alignment horizontal="center" vertical="center" wrapText="1"/>
    </xf>
    <xf numFmtId="1" fontId="27" fillId="8" borderId="98" xfId="0" applyNumberFormat="1" applyFont="1" applyFill="1" applyBorder="1" applyAlignment="1">
      <alignment horizontal="center" vertical="center" wrapText="1"/>
    </xf>
    <xf numFmtId="1" fontId="27" fillId="8" borderId="105" xfId="0" applyNumberFormat="1" applyFont="1" applyFill="1" applyBorder="1" applyAlignment="1">
      <alignment horizontal="center" vertical="center" wrapText="1"/>
    </xf>
    <xf numFmtId="1" fontId="27" fillId="8" borderId="7" xfId="0" applyNumberFormat="1" applyFont="1" applyFill="1" applyBorder="1" applyAlignment="1">
      <alignment horizontal="center" vertical="center" wrapText="1"/>
    </xf>
    <xf numFmtId="0" fontId="36" fillId="22" borderId="112" xfId="0" applyFont="1" applyFill="1" applyBorder="1" applyAlignment="1">
      <alignment horizontal="center"/>
    </xf>
    <xf numFmtId="0" fontId="36" fillId="22" borderId="113" xfId="0" applyFont="1" applyFill="1" applyBorder="1" applyAlignment="1">
      <alignment horizontal="center"/>
    </xf>
    <xf numFmtId="0" fontId="36" fillId="22" borderId="111" xfId="0" applyFont="1" applyFill="1" applyBorder="1" applyAlignment="1">
      <alignment horizontal="center"/>
    </xf>
    <xf numFmtId="0" fontId="25" fillId="25" borderId="105" xfId="0" applyFont="1" applyFill="1" applyBorder="1" applyAlignment="1">
      <alignment horizontal="center"/>
    </xf>
    <xf numFmtId="0" fontId="25" fillId="25" borderId="11" xfId="0" applyFont="1" applyFill="1" applyBorder="1" applyAlignment="1">
      <alignment horizontal="center"/>
    </xf>
    <xf numFmtId="0" fontId="25" fillId="25" borderId="7" xfId="0" applyFont="1" applyFill="1" applyBorder="1" applyAlignment="1">
      <alignment horizontal="center"/>
    </xf>
    <xf numFmtId="0" fontId="25" fillId="17" borderId="9" xfId="0" applyFont="1" applyFill="1" applyBorder="1" applyAlignment="1">
      <alignment horizontal="center"/>
    </xf>
    <xf numFmtId="0" fontId="25" fillId="17" borderId="11" xfId="0" applyFont="1" applyFill="1" applyBorder="1" applyAlignment="1">
      <alignment horizontal="center"/>
    </xf>
    <xf numFmtId="0" fontId="25" fillId="17" borderId="98" xfId="0" applyFont="1" applyFill="1" applyBorder="1" applyAlignment="1">
      <alignment horizontal="center"/>
    </xf>
    <xf numFmtId="9" fontId="25" fillId="27" borderId="103" xfId="0" applyNumberFormat="1" applyFont="1" applyFill="1" applyBorder="1" applyAlignment="1">
      <alignment horizontal="center" vertical="center" wrapText="1"/>
    </xf>
    <xf numFmtId="37" fontId="27" fillId="8" borderId="105" xfId="7" applyNumberFormat="1" applyFont="1" applyFill="1" applyBorder="1" applyAlignment="1">
      <alignment horizontal="center" vertical="center" wrapText="1"/>
    </xf>
    <xf numFmtId="37" fontId="27" fillId="8" borderId="11" xfId="7" applyNumberFormat="1" applyFont="1" applyFill="1" applyBorder="1" applyAlignment="1">
      <alignment horizontal="center" vertical="center" wrapText="1"/>
    </xf>
    <xf numFmtId="37" fontId="27" fillId="8" borderId="98" xfId="7" applyNumberFormat="1" applyFont="1" applyFill="1" applyBorder="1" applyAlignment="1">
      <alignment horizontal="center" vertical="center" wrapText="1"/>
    </xf>
    <xf numFmtId="9" fontId="25" fillId="27" borderId="97" xfId="0" applyNumberFormat="1" applyFont="1" applyFill="1" applyBorder="1" applyAlignment="1">
      <alignment horizontal="center" vertical="center" wrapText="1"/>
    </xf>
    <xf numFmtId="0" fontId="0" fillId="22" borderId="112" xfId="0" applyFill="1" applyBorder="1" applyAlignment="1">
      <alignment horizontal="center"/>
    </xf>
    <xf numFmtId="0" fontId="0" fillId="22" borderId="113" xfId="0" applyFill="1" applyBorder="1" applyAlignment="1">
      <alignment horizontal="center"/>
    </xf>
    <xf numFmtId="0" fontId="0" fillId="22" borderId="111" xfId="0" applyFill="1" applyBorder="1" applyAlignment="1">
      <alignment horizontal="center"/>
    </xf>
    <xf numFmtId="0" fontId="36" fillId="23" borderId="103" xfId="0" applyFont="1" applyFill="1" applyBorder="1" applyAlignment="1">
      <alignment horizontal="center" vertical="center" wrapText="1"/>
    </xf>
    <xf numFmtId="0" fontId="36" fillId="2" borderId="106" xfId="0" applyFont="1" applyFill="1" applyBorder="1" applyAlignment="1">
      <alignment horizontal="center" vertical="center" textRotation="90" wrapText="1" readingOrder="1"/>
    </xf>
    <xf numFmtId="0" fontId="36" fillId="2" borderId="117" xfId="0" applyFont="1" applyFill="1" applyBorder="1" applyAlignment="1">
      <alignment horizontal="center" vertical="center" textRotation="90" wrapText="1" readingOrder="1"/>
    </xf>
    <xf numFmtId="0" fontId="36" fillId="2" borderId="118" xfId="0" applyFont="1" applyFill="1" applyBorder="1" applyAlignment="1">
      <alignment horizontal="center" vertical="center" textRotation="90" wrapText="1" readingOrder="1"/>
    </xf>
    <xf numFmtId="0" fontId="36" fillId="2" borderId="111" xfId="0" applyFont="1" applyFill="1" applyBorder="1" applyAlignment="1">
      <alignment horizontal="center" vertical="center" wrapText="1"/>
    </xf>
    <xf numFmtId="0" fontId="36" fillId="2" borderId="97" xfId="0" applyFont="1" applyFill="1" applyBorder="1" applyAlignment="1">
      <alignment horizontal="center" vertical="center" wrapText="1"/>
    </xf>
    <xf numFmtId="0" fontId="36" fillId="2" borderId="112" xfId="0" applyFont="1" applyFill="1" applyBorder="1" applyAlignment="1">
      <alignment horizontal="center" vertical="center" wrapText="1"/>
    </xf>
    <xf numFmtId="0" fontId="36" fillId="2" borderId="103" xfId="0" applyFont="1" applyFill="1" applyBorder="1" applyAlignment="1">
      <alignment horizontal="center" vertical="center" wrapText="1"/>
    </xf>
    <xf numFmtId="0" fontId="25" fillId="25" borderId="11" xfId="6" applyFont="1" applyFill="1" applyBorder="1" applyAlignment="1" applyProtection="1">
      <alignment horizontal="center"/>
      <protection locked="0"/>
    </xf>
    <xf numFmtId="0" fontId="25" fillId="25" borderId="98" xfId="6" applyFont="1" applyFill="1" applyBorder="1" applyAlignment="1" applyProtection="1">
      <alignment horizontal="center"/>
      <protection locked="0"/>
    </xf>
    <xf numFmtId="0" fontId="2" fillId="2" borderId="7" xfId="6" applyFont="1" applyFill="1" applyBorder="1" applyAlignment="1" applyProtection="1">
      <alignment horizontal="center"/>
      <protection locked="0"/>
    </xf>
    <xf numFmtId="0" fontId="2" fillId="2" borderId="1" xfId="6" applyFont="1" applyFill="1" applyBorder="1" applyAlignment="1" applyProtection="1">
      <alignment horizontal="center"/>
      <protection locked="0"/>
    </xf>
    <xf numFmtId="0" fontId="2" fillId="2" borderId="97" xfId="6" applyFont="1" applyFill="1" applyBorder="1" applyAlignment="1" applyProtection="1">
      <alignment horizontal="center"/>
      <protection locked="0"/>
    </xf>
    <xf numFmtId="0" fontId="2" fillId="2" borderId="7" xfId="6" applyFont="1" applyFill="1" applyBorder="1" applyAlignment="1" applyProtection="1">
      <alignment horizontal="center" vertical="center"/>
      <protection locked="0"/>
    </xf>
    <xf numFmtId="0" fontId="2" fillId="2" borderId="1" xfId="6" applyFont="1" applyFill="1" applyBorder="1" applyAlignment="1" applyProtection="1">
      <alignment horizontal="center" vertical="center"/>
      <protection locked="0"/>
    </xf>
    <xf numFmtId="0" fontId="2" fillId="2" borderId="97" xfId="6" applyFont="1" applyFill="1" applyBorder="1" applyAlignment="1" applyProtection="1">
      <alignment horizontal="center" vertical="center"/>
      <protection locked="0"/>
    </xf>
    <xf numFmtId="0" fontId="2" fillId="2" borderId="11" xfId="6" applyFont="1" applyFill="1" applyBorder="1" applyAlignment="1" applyProtection="1">
      <alignment horizontal="center" vertical="center"/>
      <protection locked="0"/>
    </xf>
    <xf numFmtId="0" fontId="2" fillId="2" borderId="98" xfId="6" applyFont="1" applyFill="1" applyBorder="1" applyAlignment="1" applyProtection="1">
      <alignment horizontal="center" vertical="center"/>
      <protection locked="0"/>
    </xf>
    <xf numFmtId="0" fontId="0" fillId="2" borderId="11" xfId="6" applyFont="1" applyFill="1" applyBorder="1" applyAlignment="1" applyProtection="1">
      <alignment horizontal="center"/>
      <protection locked="0"/>
    </xf>
    <xf numFmtId="0" fontId="0" fillId="2" borderId="98" xfId="6" applyFont="1" applyFill="1" applyBorder="1" applyAlignment="1" applyProtection="1">
      <alignment horizontal="center"/>
      <protection locked="0"/>
    </xf>
    <xf numFmtId="0" fontId="0" fillId="0" borderId="0" xfId="0" applyAlignment="1">
      <alignment horizontal="center"/>
    </xf>
    <xf numFmtId="0" fontId="0" fillId="0" borderId="89" xfId="6" applyFont="1" applyBorder="1" applyAlignment="1">
      <alignment horizontal="left" vertical="top" wrapText="1"/>
    </xf>
    <xf numFmtId="0" fontId="0" fillId="0" borderId="87" xfId="6" applyFont="1" applyBorder="1" applyAlignment="1">
      <alignment horizontal="left" vertical="top" wrapText="1"/>
    </xf>
    <xf numFmtId="0" fontId="0" fillId="0" borderId="90" xfId="6" applyFont="1" applyBorder="1" applyAlignment="1">
      <alignment horizontal="left" vertical="top" wrapText="1"/>
    </xf>
    <xf numFmtId="0" fontId="0" fillId="0" borderId="88" xfId="6" applyFont="1" applyBorder="1" applyAlignment="1">
      <alignment horizontal="left" vertical="top" wrapText="1"/>
    </xf>
    <xf numFmtId="0" fontId="0" fillId="0" borderId="0" xfId="6" applyFont="1" applyBorder="1" applyAlignment="1">
      <alignment horizontal="left" vertical="top" wrapText="1"/>
    </xf>
    <xf numFmtId="0" fontId="0" fillId="0" borderId="91" xfId="6" applyFont="1" applyBorder="1" applyAlignment="1">
      <alignment horizontal="left" vertical="top" wrapText="1"/>
    </xf>
    <xf numFmtId="0" fontId="0" fillId="0" borderId="92" xfId="6" applyFont="1" applyBorder="1" applyAlignment="1">
      <alignment horizontal="left" vertical="top" wrapText="1"/>
    </xf>
    <xf numFmtId="0" fontId="0" fillId="0" borderId="86" xfId="6" applyFont="1" applyBorder="1" applyAlignment="1">
      <alignment horizontal="left" vertical="top" wrapText="1"/>
    </xf>
    <xf numFmtId="0" fontId="0" fillId="0" borderId="93" xfId="6" applyFont="1" applyBorder="1" applyAlignment="1">
      <alignment horizontal="left" vertical="top" wrapText="1"/>
    </xf>
    <xf numFmtId="0" fontId="11" fillId="0" borderId="1" xfId="5" applyFont="1" applyBorder="1" applyAlignment="1">
      <alignment horizontal="left"/>
    </xf>
    <xf numFmtId="0" fontId="1" fillId="2" borderId="1" xfId="6" applyFont="1" applyFill="1" applyBorder="1" applyAlignment="1">
      <alignment horizontal="center"/>
    </xf>
    <xf numFmtId="0" fontId="12" fillId="4" borderId="1" xfId="6" applyFont="1" applyFill="1" applyBorder="1" applyAlignment="1">
      <alignment horizontal="center"/>
    </xf>
    <xf numFmtId="0" fontId="21" fillId="25" borderId="94" xfId="6" applyFont="1" applyFill="1" applyBorder="1" applyAlignment="1" applyProtection="1">
      <alignment horizontal="center"/>
      <protection locked="0"/>
    </xf>
    <xf numFmtId="0" fontId="21" fillId="25" borderId="95" xfId="6" applyFont="1" applyFill="1" applyBorder="1" applyAlignment="1" applyProtection="1">
      <alignment horizontal="center"/>
      <protection locked="0"/>
    </xf>
    <xf numFmtId="0" fontId="21" fillId="25" borderId="96" xfId="6" applyFont="1" applyFill="1" applyBorder="1" applyAlignment="1" applyProtection="1">
      <alignment horizontal="center"/>
      <protection locked="0"/>
    </xf>
    <xf numFmtId="0" fontId="25" fillId="0" borderId="48" xfId="6" applyFont="1" applyBorder="1" applyAlignment="1">
      <alignment horizontal="center"/>
    </xf>
    <xf numFmtId="0" fontId="1" fillId="2" borderId="1" xfId="6" applyFont="1" applyFill="1" applyBorder="1" applyAlignment="1">
      <alignment horizontal="center" vertical="center"/>
    </xf>
    <xf numFmtId="0" fontId="41" fillId="8" borderId="64" xfId="8" applyFont="1" applyFill="1" applyBorder="1" applyAlignment="1">
      <alignment horizontal="center" vertical="center" wrapText="1"/>
    </xf>
    <xf numFmtId="0" fontId="41" fillId="8" borderId="2" xfId="8" applyFont="1" applyFill="1" applyBorder="1" applyAlignment="1">
      <alignment horizontal="center" vertical="center" wrapText="1"/>
    </xf>
    <xf numFmtId="0" fontId="41" fillId="8" borderId="65" xfId="8" applyFont="1" applyFill="1" applyBorder="1" applyAlignment="1">
      <alignment horizontal="center" vertical="center" wrapText="1"/>
    </xf>
    <xf numFmtId="0" fontId="41" fillId="8" borderId="71" xfId="8" applyFont="1" applyFill="1" applyBorder="1" applyAlignment="1">
      <alignment horizontal="center" vertical="center" wrapText="1"/>
    </xf>
    <xf numFmtId="17" fontId="41" fillId="8" borderId="62" xfId="0" applyNumberFormat="1" applyFont="1" applyFill="1" applyBorder="1" applyAlignment="1">
      <alignment horizontal="center" vertical="center"/>
    </xf>
    <xf numFmtId="0" fontId="41" fillId="8" borderId="66" xfId="0" applyFont="1" applyFill="1" applyBorder="1" applyAlignment="1">
      <alignment horizontal="center" vertical="center"/>
    </xf>
    <xf numFmtId="0" fontId="41" fillId="8" borderId="67" xfId="0" applyFont="1" applyFill="1" applyBorder="1" applyAlignment="1">
      <alignment horizontal="center" vertical="center"/>
    </xf>
    <xf numFmtId="0" fontId="41" fillId="8" borderId="62" xfId="8" applyFont="1" applyFill="1" applyBorder="1" applyAlignment="1">
      <alignment horizontal="center" vertical="center" wrapText="1"/>
    </xf>
    <xf numFmtId="0" fontId="41" fillId="8" borderId="68" xfId="8" applyFont="1" applyFill="1" applyBorder="1" applyAlignment="1">
      <alignment horizontal="center" vertical="center" wrapText="1"/>
    </xf>
    <xf numFmtId="0" fontId="41" fillId="8" borderId="63" xfId="8" applyFont="1" applyFill="1" applyBorder="1" applyAlignment="1">
      <alignment horizontal="center" vertical="center" wrapText="1"/>
    </xf>
    <xf numFmtId="0" fontId="41" fillId="8" borderId="69" xfId="8" applyFont="1" applyFill="1" applyBorder="1" applyAlignment="1">
      <alignment horizontal="center" vertical="center" wrapText="1"/>
    </xf>
    <xf numFmtId="0" fontId="41" fillId="8" borderId="58" xfId="8" applyFont="1" applyFill="1" applyBorder="1" applyAlignment="1">
      <alignment horizontal="center" vertical="center" wrapText="1"/>
    </xf>
    <xf numFmtId="0" fontId="41" fillId="8" borderId="70" xfId="8" applyFont="1" applyFill="1" applyBorder="1" applyAlignment="1">
      <alignment horizontal="center" vertical="center" wrapText="1"/>
    </xf>
    <xf numFmtId="0" fontId="41" fillId="8" borderId="84" xfId="8" applyFont="1" applyFill="1" applyBorder="1" applyAlignment="1">
      <alignment horizontal="center" vertical="center" wrapText="1"/>
    </xf>
    <xf numFmtId="0" fontId="41" fillId="8" borderId="55" xfId="0" applyFont="1" applyFill="1" applyBorder="1" applyAlignment="1">
      <alignment horizontal="center" vertical="center" wrapText="1"/>
    </xf>
    <xf numFmtId="0" fontId="41" fillId="8" borderId="57" xfId="0" applyFont="1" applyFill="1" applyBorder="1" applyAlignment="1">
      <alignment horizontal="center" vertical="center" wrapText="1"/>
    </xf>
    <xf numFmtId="0" fontId="42" fillId="5" borderId="74" xfId="8" applyFont="1" applyFill="1" applyBorder="1" applyAlignment="1">
      <alignment horizontal="center" vertical="center" wrapText="1"/>
    </xf>
    <xf numFmtId="0" fontId="42" fillId="5" borderId="77" xfId="8" applyFont="1" applyFill="1" applyBorder="1" applyAlignment="1">
      <alignment horizontal="center" vertical="center" wrapText="1"/>
    </xf>
    <xf numFmtId="0" fontId="42" fillId="5" borderId="74" xfId="8" applyFont="1" applyFill="1" applyBorder="1" applyAlignment="1">
      <alignment horizontal="left" vertical="center" wrapText="1"/>
    </xf>
    <xf numFmtId="0" fontId="42" fillId="5" borderId="77" xfId="8" applyFont="1" applyFill="1" applyBorder="1" applyAlignment="1">
      <alignment horizontal="left" vertical="center" wrapText="1"/>
    </xf>
    <xf numFmtId="0" fontId="40" fillId="5" borderId="74" xfId="8" applyFont="1" applyFill="1" applyBorder="1" applyAlignment="1">
      <alignment horizontal="center" vertical="center" wrapText="1"/>
    </xf>
    <xf numFmtId="0" fontId="40" fillId="5" borderId="77" xfId="8" applyFont="1" applyFill="1" applyBorder="1" applyAlignment="1">
      <alignment horizontal="center" vertical="center" wrapText="1"/>
    </xf>
    <xf numFmtId="9" fontId="40" fillId="5" borderId="13" xfId="8" applyNumberFormat="1" applyFont="1" applyFill="1" applyBorder="1" applyAlignment="1">
      <alignment horizontal="center" vertical="center" wrapText="1"/>
    </xf>
    <xf numFmtId="9" fontId="40" fillId="5" borderId="78" xfId="8" applyNumberFormat="1" applyFont="1" applyFill="1" applyBorder="1" applyAlignment="1">
      <alignment horizontal="center" vertical="center" wrapText="1"/>
    </xf>
    <xf numFmtId="0" fontId="40" fillId="0" borderId="76" xfId="0" applyFont="1" applyBorder="1" applyAlignment="1">
      <alignment horizontal="left" vertical="center" wrapText="1"/>
    </xf>
    <xf numFmtId="0" fontId="41" fillId="0" borderId="58" xfId="8" applyFont="1" applyBorder="1" applyAlignment="1">
      <alignment horizontal="center" vertical="top" wrapText="1"/>
    </xf>
    <xf numFmtId="0" fontId="41" fillId="0" borderId="70" xfId="8" applyFont="1" applyBorder="1" applyAlignment="1">
      <alignment horizontal="center" vertical="top" wrapText="1"/>
    </xf>
    <xf numFmtId="0" fontId="41" fillId="0" borderId="77" xfId="8" applyFont="1" applyBorder="1" applyAlignment="1">
      <alignment horizontal="center" vertical="top" wrapText="1"/>
    </xf>
    <xf numFmtId="0" fontId="42" fillId="0" borderId="16" xfId="0" applyFont="1" applyBorder="1" applyAlignment="1">
      <alignment horizontal="left" vertical="top" wrapText="1"/>
    </xf>
    <xf numFmtId="0" fontId="42" fillId="0" borderId="41" xfId="0" applyFont="1" applyBorder="1" applyAlignment="1">
      <alignment horizontal="left" vertical="top" wrapText="1"/>
    </xf>
    <xf numFmtId="0" fontId="43" fillId="0" borderId="55" xfId="8" applyFont="1" applyFill="1" applyBorder="1" applyAlignment="1">
      <alignment horizontal="center" vertical="center" wrapText="1"/>
    </xf>
    <xf numFmtId="0" fontId="43" fillId="0" borderId="85" xfId="8" applyFont="1" applyFill="1" applyBorder="1" applyAlignment="1">
      <alignment horizontal="center" vertical="center" wrapText="1"/>
    </xf>
    <xf numFmtId="0" fontId="40" fillId="0" borderId="58" xfId="0" applyFont="1" applyBorder="1" applyAlignment="1">
      <alignment horizontal="left" vertical="center" wrapText="1"/>
    </xf>
    <xf numFmtId="0" fontId="40" fillId="0" borderId="77" xfId="0" applyFont="1" applyBorder="1" applyAlignment="1">
      <alignment horizontal="left" vertical="center" wrapText="1"/>
    </xf>
    <xf numFmtId="0" fontId="43" fillId="0" borderId="58" xfId="8" applyFont="1" applyFill="1" applyBorder="1" applyAlignment="1">
      <alignment horizontal="center" vertical="center" wrapText="1"/>
    </xf>
    <xf numFmtId="0" fontId="43" fillId="0" borderId="77" xfId="8" applyFont="1" applyFill="1" applyBorder="1" applyAlignment="1">
      <alignment horizontal="center" vertical="center" wrapText="1"/>
    </xf>
    <xf numFmtId="9" fontId="43" fillId="0" borderId="64" xfId="8" applyNumberFormat="1" applyFont="1" applyFill="1" applyBorder="1" applyAlignment="1">
      <alignment horizontal="center" vertical="center" wrapText="1"/>
    </xf>
    <xf numFmtId="9" fontId="43" fillId="0" borderId="81" xfId="8" applyNumberFormat="1" applyFont="1" applyFill="1" applyBorder="1" applyAlignment="1">
      <alignment horizontal="center" vertical="center" wrapText="1"/>
    </xf>
    <xf numFmtId="0" fontId="42" fillId="0" borderId="77" xfId="0" applyFont="1" applyBorder="1" applyAlignment="1">
      <alignment horizontal="left" vertical="top" wrapText="1"/>
    </xf>
    <xf numFmtId="0" fontId="40" fillId="0" borderId="58" xfId="0" applyFont="1" applyBorder="1" applyAlignment="1">
      <alignment horizontal="left" vertical="center" wrapText="1" indent="2"/>
    </xf>
    <xf numFmtId="0" fontId="40" fillId="0" borderId="77" xfId="0" applyFont="1" applyBorder="1" applyAlignment="1">
      <alignment horizontal="left" vertical="center" wrapText="1" indent="2"/>
    </xf>
    <xf numFmtId="0" fontId="42" fillId="0" borderId="58" xfId="0" applyFont="1" applyBorder="1" applyAlignment="1">
      <alignment horizontal="left" vertical="top" wrapText="1"/>
    </xf>
    <xf numFmtId="0" fontId="40" fillId="0" borderId="76" xfId="0" applyFont="1" applyBorder="1" applyAlignment="1">
      <alignment horizontal="center" vertical="center" wrapText="1"/>
    </xf>
    <xf numFmtId="0" fontId="43" fillId="0" borderId="16" xfId="8" applyFont="1" applyBorder="1" applyAlignment="1">
      <alignment horizontal="center" vertical="center" wrapText="1"/>
    </xf>
    <xf numFmtId="0" fontId="43" fillId="0" borderId="41" xfId="8" applyFont="1" applyBorder="1" applyAlignment="1">
      <alignment horizontal="center" vertical="center" wrapText="1"/>
    </xf>
    <xf numFmtId="9" fontId="43" fillId="0" borderId="2" xfId="8" applyNumberFormat="1" applyFont="1" applyFill="1" applyBorder="1" applyAlignment="1">
      <alignment horizontal="center" vertical="center" wrapText="1"/>
    </xf>
    <xf numFmtId="9" fontId="43" fillId="5" borderId="64" xfId="8" applyNumberFormat="1" applyFont="1" applyFill="1" applyBorder="1" applyAlignment="1">
      <alignment horizontal="center" vertical="center" wrapText="1"/>
    </xf>
    <xf numFmtId="9" fontId="43" fillId="5" borderId="81" xfId="8" applyNumberFormat="1" applyFont="1" applyFill="1" applyBorder="1" applyAlignment="1">
      <alignment horizontal="center" vertical="center" wrapText="1"/>
    </xf>
    <xf numFmtId="9" fontId="40" fillId="5" borderId="18" xfId="8" applyNumberFormat="1" applyFont="1" applyFill="1" applyBorder="1" applyAlignment="1">
      <alignment horizontal="center" vertical="center" wrapText="1"/>
    </xf>
    <xf numFmtId="9" fontId="40" fillId="5" borderId="41" xfId="8" applyNumberFormat="1" applyFont="1" applyFill="1" applyBorder="1" applyAlignment="1">
      <alignment horizontal="center" vertical="center" wrapText="1"/>
    </xf>
    <xf numFmtId="0" fontId="43" fillId="5" borderId="16" xfId="8" applyFont="1" applyFill="1" applyBorder="1" applyAlignment="1">
      <alignment horizontal="center" vertical="center" wrapText="1"/>
    </xf>
    <xf numFmtId="0" fontId="43" fillId="5" borderId="41" xfId="8" applyFont="1" applyFill="1" applyBorder="1" applyAlignment="1">
      <alignment horizontal="center" vertical="center" wrapText="1"/>
    </xf>
    <xf numFmtId="0" fontId="40" fillId="5" borderId="58" xfId="0" applyFont="1" applyFill="1" applyBorder="1" applyAlignment="1">
      <alignment horizontal="left" vertical="center" wrapText="1"/>
    </xf>
    <xf numFmtId="0" fontId="40" fillId="5" borderId="77" xfId="0" applyFont="1" applyFill="1" applyBorder="1" applyAlignment="1">
      <alignment horizontal="left" vertical="center" wrapText="1"/>
    </xf>
    <xf numFmtId="0" fontId="43" fillId="5" borderId="58" xfId="8" applyFont="1" applyFill="1" applyBorder="1" applyAlignment="1">
      <alignment horizontal="center" vertical="center" wrapText="1"/>
    </xf>
    <xf numFmtId="0" fontId="43" fillId="5" borderId="77" xfId="8" applyFont="1" applyFill="1" applyBorder="1" applyAlignment="1">
      <alignment horizontal="center" vertical="center" wrapText="1"/>
    </xf>
    <xf numFmtId="0" fontId="40" fillId="0" borderId="58" xfId="0" applyFont="1" applyBorder="1" applyAlignment="1">
      <alignment horizontal="left" vertical="center" wrapText="1" indent="1"/>
    </xf>
    <xf numFmtId="0" fontId="40" fillId="0" borderId="77" xfId="0" applyFont="1" applyBorder="1" applyAlignment="1">
      <alignment horizontal="left" vertical="center" wrapText="1" indent="1"/>
    </xf>
    <xf numFmtId="9" fontId="40" fillId="5" borderId="16" xfId="8" applyNumberFormat="1" applyFont="1" applyFill="1" applyBorder="1" applyAlignment="1">
      <alignment horizontal="center" vertical="center" wrapText="1"/>
    </xf>
  </cellXfs>
  <cellStyles count="11">
    <cellStyle name="Comma" xfId="7" builtinId="3"/>
    <cellStyle name="Comma 2" xfId="9" xr:uid="{BD5984B1-4198-4116-ACDB-91EE5B8EAF7C}"/>
    <cellStyle name="Hyperlink 2" xfId="10" xr:uid="{D26F0CCC-CBDC-461A-8EDA-706A1AE93C25}"/>
    <cellStyle name="Input" xfId="3" builtinId="20"/>
    <cellStyle name="Normal" xfId="0" builtinId="0"/>
    <cellStyle name="Normal 11" xfId="8" xr:uid="{A8F41BF7-F4A6-49C4-A83F-C949F754F4EB}"/>
    <cellStyle name="Normal 2" xfId="5" xr:uid="{00000000-0005-0000-0000-000003000000}"/>
    <cellStyle name="Normal 2 2 2" xfId="4" xr:uid="{00000000-0005-0000-0000-000004000000}"/>
    <cellStyle name="Normal 2 3" xfId="6" xr:uid="{00000000-0005-0000-0000-000005000000}"/>
    <cellStyle name="Normal 4 2" xfId="2" xr:uid="{00000000-0005-0000-0000-000006000000}"/>
    <cellStyle name="Percent" xfId="1" builtinId="5"/>
  </cellStyles>
  <dxfs count="35">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92D050"/>
        </patternFill>
      </fill>
    </dxf>
    <dxf>
      <fill>
        <patternFill>
          <bgColor rgb="FFFFC000"/>
        </patternFill>
      </fill>
    </dxf>
    <dxf>
      <fill>
        <patternFill>
          <bgColor theme="8" tint="0.59996337778862885"/>
        </patternFill>
      </fill>
    </dxf>
    <dxf>
      <fill>
        <patternFill patternType="solid">
          <bgColor theme="0"/>
        </patternFill>
      </fill>
    </dxf>
    <dxf>
      <fill>
        <patternFill>
          <bgColor rgb="FF92D050"/>
        </patternFill>
      </fill>
    </dxf>
    <dxf>
      <fill>
        <patternFill>
          <bgColor rgb="FFFFC000"/>
        </patternFill>
      </fill>
    </dxf>
    <dxf>
      <fill>
        <patternFill>
          <bgColor theme="8" tint="0.59996337778862885"/>
        </patternFill>
      </fill>
    </dxf>
    <dxf>
      <fill>
        <patternFill patternType="solid">
          <bgColor theme="0"/>
        </patternFill>
      </fill>
    </dxf>
    <dxf>
      <fill>
        <patternFill>
          <bgColor rgb="FF00FF00"/>
        </patternFill>
      </fill>
    </dxf>
    <dxf>
      <fill>
        <patternFill>
          <bgColor rgb="FFFF0000"/>
        </patternFill>
      </fill>
    </dxf>
    <dxf>
      <fill>
        <patternFill>
          <bgColor rgb="FFFFC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0.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sharedStrings" Target="sharedString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US" sz="1200"/>
              <a:t>CWDs</a:t>
            </a:r>
            <a:r>
              <a:rPr lang="en-US" sz="1200" baseline="0"/>
              <a:t> Beneficiaries</a:t>
            </a:r>
            <a:endParaRPr lang="en-US" sz="1200"/>
          </a:p>
        </c:rich>
      </c:tx>
      <c:layout>
        <c:manualLayout>
          <c:xMode val="edge"/>
          <c:yMode val="edge"/>
          <c:x val="0.34069521159302596"/>
          <c:y val="8.3333333333333329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32380043782753654"/>
          <c:y val="0.2350083114610674"/>
          <c:w val="0.38184672326254426"/>
          <c:h val="0.64834383202099732"/>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9C-42B3-9AB8-CC133A51E9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9C-42B3-9AB8-CC133A51E99B}"/>
              </c:ext>
            </c:extLst>
          </c:dPt>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'Beneficiaries Breakdown'!$F$6:$G$6</c:f>
              <c:strCache>
                <c:ptCount val="2"/>
                <c:pt idx="0">
                  <c:v>CWDs Male</c:v>
                </c:pt>
                <c:pt idx="1">
                  <c:v>CWDs Female</c:v>
                </c:pt>
              </c:strCache>
            </c:strRef>
          </c:cat>
          <c:val>
            <c:numRef>
              <c:f>'Beneficiaries Breakdown'!$F$8:$G$8</c:f>
              <c:numCache>
                <c:formatCode>0%</c:formatCode>
                <c:ptCount val="2"/>
                <c:pt idx="0">
                  <c:v>0.2</c:v>
                </c:pt>
                <c:pt idx="1">
                  <c:v>0.375</c:v>
                </c:pt>
              </c:numCache>
            </c:numRef>
          </c:val>
          <c:extLst>
            <c:ext xmlns:c16="http://schemas.microsoft.com/office/drawing/2014/chart" uri="{C3380CC4-5D6E-409C-BE32-E72D297353CC}">
              <c16:uniqueId val="{00000002-FE43-46C6-A01C-ADAA5B81F78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68326395610697788"/>
          <c:y val="0.74513823272090984"/>
          <c:w val="0.2834816074562076"/>
          <c:h val="0.19375065616797899"/>
        </c:manualLayout>
      </c:layout>
      <c:overlay val="0"/>
      <c:spPr>
        <a:noFill/>
        <a:ln>
          <a:noFill/>
        </a:ln>
        <a:effectLst/>
      </c:spPr>
      <c:txPr>
        <a:bodyPr rot="0" spcFirstLastPara="1" vertOverflow="ellipsis" vert="horz" wrap="square" anchor="ctr" anchorCtr="1"/>
        <a:lstStyle/>
        <a:p>
          <a:pPr rtl="0">
            <a:defRPr sz="1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en-US" sz="1200" b="0">
                <a:solidFill>
                  <a:sysClr val="windowText" lastClr="000000"/>
                </a:solidFill>
                <a:latin typeface="+mn-lt"/>
              </a:rPr>
              <a:t>Beneficiaries per</a:t>
            </a:r>
            <a:r>
              <a:rPr lang="en-US" sz="1200" b="0" baseline="0">
                <a:solidFill>
                  <a:sysClr val="windowText" lastClr="000000"/>
                </a:solidFill>
                <a:latin typeface="+mn-lt"/>
              </a:rPr>
              <a:t> target group</a:t>
            </a:r>
            <a:endParaRPr lang="en-US" sz="1200" b="0">
              <a:solidFill>
                <a:sysClr val="windowText" lastClr="000000"/>
              </a:solidFill>
              <a:latin typeface="+mn-lt"/>
            </a:endParaRPr>
          </a:p>
        </c:rich>
      </c:tx>
      <c:layout>
        <c:manualLayout>
          <c:xMode val="edge"/>
          <c:yMode val="edge"/>
          <c:x val="0.30190239406453045"/>
          <c:y val="6.4049210872181794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1.8677375795731546E-2"/>
          <c:y val="0.19689811500835122"/>
          <c:w val="0.93888888888888888"/>
          <c:h val="0.66016149023038784"/>
        </c:manualLayout>
      </c:layout>
      <c:barChart>
        <c:barDir val="bar"/>
        <c:grouping val="stacked"/>
        <c:varyColors val="0"/>
        <c:ser>
          <c:idx val="0"/>
          <c:order val="0"/>
          <c:tx>
            <c:strRef>
              <c:f>'Beneficiaries Breakdown'!$H$6</c:f>
              <c:strCache>
                <c:ptCount val="1"/>
                <c:pt idx="0">
                  <c:v>Children</c:v>
                </c:pt>
              </c:strCache>
            </c:strRef>
          </c:tx>
          <c:spPr>
            <a:solidFill>
              <a:srgbClr val="005A6A"/>
            </a:solidFill>
            <a:ln>
              <a:noFill/>
            </a:ln>
            <a:effectLst>
              <a:outerShdw blurRad="40000" dist="23000" dir="5400000" rotWithShape="0">
                <a:srgbClr val="000000">
                  <a:alpha val="35000"/>
                </a:srgbClr>
              </a:outerShdw>
            </a:effectLst>
          </c:spPr>
          <c:invertIfNegative val="0"/>
          <c:dLbls>
            <c:dLbl>
              <c:idx val="0"/>
              <c:spPr>
                <a:solidFill>
                  <a:schemeClr val="lt1"/>
                </a:solidFill>
                <a:ln w="25400"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0-219F-4B3F-A4BC-4EE17B0B8A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'Beneficiaries Breakdown'!$H$7</c:f>
              <c:numCache>
                <c:formatCode>General</c:formatCode>
                <c:ptCount val="1"/>
                <c:pt idx="0">
                  <c:v>163</c:v>
                </c:pt>
              </c:numCache>
            </c:numRef>
          </c:val>
          <c:extLst>
            <c:ext xmlns:c16="http://schemas.microsoft.com/office/drawing/2014/chart" uri="{C3380CC4-5D6E-409C-BE32-E72D297353CC}">
              <c16:uniqueId val="{00000001-219F-4B3F-A4BC-4EE17B0B8A1E}"/>
            </c:ext>
          </c:extLst>
        </c:ser>
        <c:ser>
          <c:idx val="1"/>
          <c:order val="1"/>
          <c:tx>
            <c:strRef>
              <c:f>'Beneficiaries Breakdown'!$I$6</c:f>
              <c:strCache>
                <c:ptCount val="1"/>
                <c:pt idx="0">
                  <c:v>Youth</c:v>
                </c:pt>
              </c:strCache>
            </c:strRef>
          </c:tx>
          <c:spPr>
            <a:solidFill>
              <a:srgbClr val="CC2E2E"/>
            </a:solidFill>
            <a:ln>
              <a:noFill/>
            </a:ln>
            <a:effectLst>
              <a:outerShdw blurRad="40000" dist="23000" dir="5400000" rotWithShape="0">
                <a:srgbClr val="000000">
                  <a:alpha val="35000"/>
                </a:srgbClr>
              </a:outerShdw>
            </a:effectLst>
          </c:spPr>
          <c:invertIfNegative val="0"/>
          <c:dLbls>
            <c:dLbl>
              <c:idx val="0"/>
              <c:spPr>
                <a:solidFill>
                  <a:schemeClr val="lt1"/>
                </a:solidFill>
                <a:ln w="25400"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2-219F-4B3F-A4BC-4EE17B0B8A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'Beneficiaries Breakdown'!$I$7</c:f>
              <c:numCache>
                <c:formatCode>General</c:formatCode>
                <c:ptCount val="1"/>
                <c:pt idx="0">
                  <c:v>378</c:v>
                </c:pt>
              </c:numCache>
            </c:numRef>
          </c:val>
          <c:extLst>
            <c:ext xmlns:c16="http://schemas.microsoft.com/office/drawing/2014/chart" uri="{C3380CC4-5D6E-409C-BE32-E72D297353CC}">
              <c16:uniqueId val="{00000003-219F-4B3F-A4BC-4EE17B0B8A1E}"/>
            </c:ext>
          </c:extLst>
        </c:ser>
        <c:ser>
          <c:idx val="2"/>
          <c:order val="2"/>
          <c:tx>
            <c:strRef>
              <c:f>'Beneficiaries Breakdown'!$J$6</c:f>
              <c:strCache>
                <c:ptCount val="1"/>
                <c:pt idx="0">
                  <c:v>Parents</c:v>
                </c:pt>
              </c:strCache>
            </c:strRef>
          </c:tx>
          <c:spPr>
            <a:solidFill>
              <a:srgbClr val="472A2A"/>
            </a:solidFill>
            <a:ln>
              <a:noFill/>
            </a:ln>
            <a:effectLst>
              <a:outerShdw blurRad="40000" dist="23000" dir="5400000" rotWithShape="0">
                <a:srgbClr val="000000">
                  <a:alpha val="35000"/>
                </a:srgbClr>
              </a:outerShdw>
            </a:effectLst>
          </c:spPr>
          <c:invertIfNegative val="0"/>
          <c:dLbls>
            <c:dLbl>
              <c:idx val="0"/>
              <c:spPr>
                <a:solidFill>
                  <a:schemeClr val="lt1"/>
                </a:solidFill>
                <a:ln w="25400"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4-219F-4B3F-A4BC-4EE17B0B8A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'Beneficiaries Breakdown'!$J$7</c:f>
              <c:numCache>
                <c:formatCode>General</c:formatCode>
                <c:ptCount val="1"/>
                <c:pt idx="0">
                  <c:v>398</c:v>
                </c:pt>
              </c:numCache>
            </c:numRef>
          </c:val>
          <c:extLst>
            <c:ext xmlns:c16="http://schemas.microsoft.com/office/drawing/2014/chart" uri="{C3380CC4-5D6E-409C-BE32-E72D297353CC}">
              <c16:uniqueId val="{00000005-219F-4B3F-A4BC-4EE17B0B8A1E}"/>
            </c:ext>
          </c:extLst>
        </c:ser>
        <c:ser>
          <c:idx val="3"/>
          <c:order val="3"/>
          <c:tx>
            <c:strRef>
              <c:f>'Beneficiaries Breakdown'!$K$6</c:f>
              <c:strCache>
                <c:ptCount val="1"/>
                <c:pt idx="0">
                  <c:v>Local Educator</c:v>
                </c:pt>
              </c:strCache>
            </c:strRef>
          </c:tx>
          <c:spPr>
            <a:solidFill>
              <a:srgbClr val="FFC000"/>
            </a:solidFill>
            <a:ln>
              <a:noFill/>
            </a:ln>
            <a:effectLst>
              <a:outerShdw blurRad="40000" dist="23000" dir="5400000" rotWithShape="0">
                <a:srgbClr val="000000">
                  <a:alpha val="35000"/>
                </a:srgbClr>
              </a:outerShdw>
            </a:effectLst>
          </c:spPr>
          <c:invertIfNegative val="0"/>
          <c:dLbls>
            <c:dLbl>
              <c:idx val="0"/>
              <c:spPr>
                <a:solidFill>
                  <a:schemeClr val="lt1"/>
                </a:solidFill>
                <a:ln w="25400"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6-219F-4B3F-A4BC-4EE17B0B8A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'Beneficiaries Breakdown'!$K$7</c:f>
              <c:numCache>
                <c:formatCode>General</c:formatCode>
                <c:ptCount val="1"/>
                <c:pt idx="0">
                  <c:v>61</c:v>
                </c:pt>
              </c:numCache>
            </c:numRef>
          </c:val>
          <c:extLst>
            <c:ext xmlns:c16="http://schemas.microsoft.com/office/drawing/2014/chart" uri="{C3380CC4-5D6E-409C-BE32-E72D297353CC}">
              <c16:uniqueId val="{00000007-219F-4B3F-A4BC-4EE17B0B8A1E}"/>
            </c:ext>
          </c:extLst>
        </c:ser>
        <c:ser>
          <c:idx val="4"/>
          <c:order val="4"/>
          <c:tx>
            <c:strRef>
              <c:f>'Beneficiaries Breakdown'!$L$6</c:f>
              <c:strCache>
                <c:ptCount val="1"/>
                <c:pt idx="0">
                  <c:v>NAWA educator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'Beneficiaries Breakdown'!$L$7</c:f>
              <c:numCache>
                <c:formatCode>General</c:formatCode>
                <c:ptCount val="1"/>
                <c:pt idx="0">
                  <c:v>4</c:v>
                </c:pt>
              </c:numCache>
            </c:numRef>
          </c:val>
          <c:extLst>
            <c:ext xmlns:c16="http://schemas.microsoft.com/office/drawing/2014/chart" uri="{C3380CC4-5D6E-409C-BE32-E72D297353CC}">
              <c16:uniqueId val="{00000000-83AD-40FC-A6AD-00EAF811547A}"/>
            </c:ext>
          </c:extLst>
        </c:ser>
        <c:dLbls>
          <c:dLblPos val="ctr"/>
          <c:showLegendKey val="0"/>
          <c:showVal val="1"/>
          <c:showCatName val="0"/>
          <c:showSerName val="0"/>
          <c:showPercent val="0"/>
          <c:showBubbleSize val="0"/>
        </c:dLbls>
        <c:gapWidth val="150"/>
        <c:overlap val="100"/>
        <c:axId val="-1967473008"/>
        <c:axId val="-1967469200"/>
      </c:barChart>
      <c:catAx>
        <c:axId val="-1967473008"/>
        <c:scaling>
          <c:orientation val="minMax"/>
        </c:scaling>
        <c:delete val="1"/>
        <c:axPos val="l"/>
        <c:numFmt formatCode="General" sourceLinked="1"/>
        <c:majorTickMark val="none"/>
        <c:minorTickMark val="none"/>
        <c:tickLblPos val="nextTo"/>
        <c:crossAx val="-1967469200"/>
        <c:crosses val="autoZero"/>
        <c:auto val="1"/>
        <c:lblAlgn val="ctr"/>
        <c:lblOffset val="100"/>
        <c:noMultiLvlLbl val="0"/>
      </c:catAx>
      <c:valAx>
        <c:axId val="-1967469200"/>
        <c:scaling>
          <c:orientation val="minMax"/>
        </c:scaling>
        <c:delete val="1"/>
        <c:axPos val="b"/>
        <c:numFmt formatCode="General" sourceLinked="1"/>
        <c:majorTickMark val="none"/>
        <c:minorTickMark val="none"/>
        <c:tickLblPos val="nextTo"/>
        <c:crossAx val="-1967473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US" sz="1200"/>
              <a:t>Direct beneficiaries disaggregated by gender</a:t>
            </a:r>
          </a:p>
        </c:rich>
      </c:tx>
      <c:layout>
        <c:manualLayout>
          <c:xMode val="edge"/>
          <c:yMode val="edge"/>
          <c:x val="0.13783219977549555"/>
          <c:y val="7.222222222222221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30089654939652505"/>
          <c:y val="0.24611942257217853"/>
          <c:w val="0.38184672326254426"/>
          <c:h val="0.64834383202099732"/>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9C-42B3-9AB8-CC133A51E9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9C-42B3-9AB8-CC133A51E99B}"/>
              </c:ext>
            </c:extLst>
          </c:dPt>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'Project Tracking Table -PTT'!$U$2:$V$2</c:f>
              <c:strCache>
                <c:ptCount val="2"/>
                <c:pt idx="0">
                  <c:v>M</c:v>
                </c:pt>
                <c:pt idx="1">
                  <c:v>FM</c:v>
                </c:pt>
              </c:strCache>
            </c:strRef>
          </c:cat>
          <c:val>
            <c:numRef>
              <c:f>'Project Tracking Table -PTT'!$U$5:$V$5</c:f>
              <c:numCache>
                <c:formatCode>0%</c:formatCode>
                <c:ptCount val="2"/>
                <c:pt idx="0">
                  <c:v>0</c:v>
                </c:pt>
                <c:pt idx="1">
                  <c:v>0</c:v>
                </c:pt>
              </c:numCache>
            </c:numRef>
          </c:val>
          <c:extLst>
            <c:ext xmlns:c16="http://schemas.microsoft.com/office/drawing/2014/chart" uri="{C3380CC4-5D6E-409C-BE32-E72D297353CC}">
              <c16:uniqueId val="{00000002-FE43-46C6-A01C-ADAA5B81F78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34952158182652454"/>
          <c:y val="0.90069378827646529"/>
          <c:w val="0.2834816074562076"/>
          <c:h val="9.9306211723534557E-2"/>
        </c:manualLayout>
      </c:layout>
      <c:overlay val="0"/>
      <c:spPr>
        <a:noFill/>
        <a:ln>
          <a:noFill/>
        </a:ln>
        <a:effectLst/>
      </c:spPr>
      <c:txPr>
        <a:bodyPr rot="0" spcFirstLastPara="1" vertOverflow="ellipsis" vert="horz" wrap="square" anchor="ctr" anchorCtr="1"/>
        <a:lstStyle/>
        <a:p>
          <a:pPr rtl="0">
            <a:defRPr sz="1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a:pPr>
            <a:r>
              <a:rPr lang="en-US" sz="1400" b="0"/>
              <a:t>PWDs</a:t>
            </a:r>
          </a:p>
        </c:rich>
      </c:tx>
      <c:layout>
        <c:manualLayout>
          <c:xMode val="edge"/>
          <c:yMode val="edge"/>
          <c:x val="0.36939835796123199"/>
          <c:y val="0"/>
        </c:manualLayout>
      </c:layout>
      <c:overlay val="1"/>
    </c:title>
    <c:autoTitleDeleted val="0"/>
    <c:plotArea>
      <c:layout>
        <c:manualLayout>
          <c:layoutTarget val="inner"/>
          <c:xMode val="edge"/>
          <c:yMode val="edge"/>
          <c:x val="0.19970231084660536"/>
          <c:y val="0.23489687065091031"/>
          <c:w val="0.62867337338750762"/>
          <c:h val="0.79134605975520389"/>
        </c:manualLayout>
      </c:layout>
      <c:doughnutChart>
        <c:varyColors val="1"/>
        <c:ser>
          <c:idx val="0"/>
          <c:order val="0"/>
          <c:spPr>
            <a:solidFill>
              <a:schemeClr val="accent1"/>
            </a:solidFill>
          </c:spPr>
          <c:dPt>
            <c:idx val="0"/>
            <c:bubble3D val="0"/>
            <c:spPr>
              <a:solidFill>
                <a:srgbClr val="FFC000"/>
              </a:solidFill>
            </c:spPr>
            <c:extLst>
              <c:ext xmlns:c16="http://schemas.microsoft.com/office/drawing/2014/chart" uri="{C3380CC4-5D6E-409C-BE32-E72D297353CC}">
                <c16:uniqueId val="{00000001-E737-49A0-B719-0928C8D1F616}"/>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'Beneficiaries Breakdown'!$D$11:$E$11</c:f>
              <c:strCache>
                <c:ptCount val="2"/>
                <c:pt idx="0">
                  <c:v>Female</c:v>
                </c:pt>
                <c:pt idx="1">
                  <c:v>Male</c:v>
                </c:pt>
              </c:strCache>
            </c:strRef>
          </c:cat>
          <c:val>
            <c:numRef>
              <c:f>'Beneficiaries Breakdown'!$D$14:$E$14</c:f>
              <c:numCache>
                <c:formatCode>_(* #,##0.00_);_(* \(#,##0.00\);_(* "-"??_);_(@_)</c:formatCode>
                <c:ptCount val="2"/>
                <c:pt idx="0">
                  <c:v>15</c:v>
                </c:pt>
                <c:pt idx="1">
                  <c:v>0</c:v>
                </c:pt>
              </c:numCache>
            </c:numRef>
          </c:val>
          <c:extLst>
            <c:ext xmlns:c16="http://schemas.microsoft.com/office/drawing/2014/chart" uri="{C3380CC4-5D6E-409C-BE32-E72D297353CC}">
              <c16:uniqueId val="{00000002-E737-49A0-B719-0928C8D1F616}"/>
            </c:ext>
          </c:extLst>
        </c:ser>
        <c:dLbls>
          <c:showLegendKey val="0"/>
          <c:showVal val="0"/>
          <c:showCatName val="0"/>
          <c:showSerName val="0"/>
          <c:showPercent val="0"/>
          <c:showBubbleSize val="0"/>
          <c:showLeaderLines val="1"/>
        </c:dLbls>
        <c:firstSliceAng val="0"/>
        <c:holeSize val="75"/>
      </c:doughnutChart>
    </c:plotArea>
    <c:legend>
      <c:legendPos val="r"/>
      <c:layout>
        <c:manualLayout>
          <c:xMode val="edge"/>
          <c:yMode val="edge"/>
          <c:x val="7.9468881347435332E-3"/>
          <c:y val="0.13363868693685768"/>
          <c:w val="0.99205300958085563"/>
          <c:h val="0.17349625294338025"/>
        </c:manualLayout>
      </c:layout>
      <c:overlay val="0"/>
      <c:txPr>
        <a:bodyPr/>
        <a:lstStyle/>
        <a:p>
          <a:pPr lvl="0" rtl="0">
            <a:defRPr sz="1000" b="0" i="0">
              <a:solidFill>
                <a:srgbClr val="000000"/>
              </a:solidFill>
              <a:latin typeface="+mn-lt"/>
            </a:defRPr>
          </a:pPr>
          <a:endParaRPr lang="en-US"/>
        </a:p>
      </c:txPr>
    </c:legend>
    <c:plotVisOnly val="1"/>
    <c:dispBlanksAs val="zero"/>
    <c:showDLblsOverMax val="1"/>
  </c:chart>
  <c:spPr>
    <a:no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3.5881751008901348E-2"/>
          <c:y val="4.8333949184654369E-2"/>
          <c:w val="0.86952090542217697"/>
          <c:h val="0.81680672094461904"/>
        </c:manualLayout>
      </c:layout>
      <c:barChart>
        <c:barDir val="col"/>
        <c:grouping val="stacked"/>
        <c:varyColors val="1"/>
        <c:ser>
          <c:idx val="0"/>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'Beneficiaries Breakdown'!$H$11:$M$11</c15:sqref>
                  </c15:fullRef>
                </c:ext>
              </c:extLst>
              <c:f>'Beneficiaries Breakdown'!$H$11:$L$11</c:f>
              <c:strCache>
                <c:ptCount val="5"/>
                <c:pt idx="0">
                  <c:v>Children</c:v>
                </c:pt>
                <c:pt idx="1">
                  <c:v>Youth</c:v>
                </c:pt>
                <c:pt idx="2">
                  <c:v>Parents</c:v>
                </c:pt>
                <c:pt idx="3">
                  <c:v>Local Educator</c:v>
                </c:pt>
                <c:pt idx="4">
                  <c:v>NAWA educator</c:v>
                </c:pt>
              </c:strCache>
            </c:strRef>
          </c:cat>
          <c:val>
            <c:numRef>
              <c:extLst>
                <c:ext xmlns:c15="http://schemas.microsoft.com/office/drawing/2012/chart" uri="{02D57815-91ED-43cb-92C2-25804820EDAC}">
                  <c15:fullRef>
                    <c15:sqref>'Beneficiaries Breakdown'!$H$11:$M$11</c15:sqref>
                  </c15:fullRef>
                </c:ext>
              </c:extLst>
              <c:f>'Beneficiaries Breakdown'!$H$11:$L$11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AE8F-4E0C-914A-18011A660777}"/>
            </c:ext>
          </c:extLst>
        </c:ser>
        <c:ser>
          <c:idx val="1"/>
          <c:order val="1"/>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'Beneficiaries Breakdown'!$H$11:$M$11</c15:sqref>
                  </c15:fullRef>
                </c:ext>
              </c:extLst>
              <c:f>'Beneficiaries Breakdown'!$H$11:$L$11</c:f>
              <c:strCache>
                <c:ptCount val="5"/>
                <c:pt idx="0">
                  <c:v>Children</c:v>
                </c:pt>
                <c:pt idx="1">
                  <c:v>Youth</c:v>
                </c:pt>
                <c:pt idx="2">
                  <c:v>Parents</c:v>
                </c:pt>
                <c:pt idx="3">
                  <c:v>Local Educator</c:v>
                </c:pt>
                <c:pt idx="4">
                  <c:v>NAWA educator</c:v>
                </c:pt>
              </c:strCache>
            </c:strRef>
          </c:cat>
          <c:val>
            <c:numRef>
              <c:extLst>
                <c:ext xmlns:c15="http://schemas.microsoft.com/office/drawing/2012/chart" uri="{02D57815-91ED-43cb-92C2-25804820EDAC}">
                  <c15:fullRef>
                    <c15:sqref>'Beneficiaries Breakdown'!$H$12:$M$12</c15:sqref>
                  </c15:fullRef>
                </c:ext>
              </c:extLst>
              <c:f>'Beneficiaries Breakdown'!$H$12:$L$12</c:f>
              <c:numCache>
                <c:formatCode>General</c:formatCode>
                <c:ptCount val="5"/>
                <c:pt idx="0">
                  <c:v>73</c:v>
                </c:pt>
                <c:pt idx="1">
                  <c:v>335</c:v>
                </c:pt>
                <c:pt idx="2">
                  <c:v>335</c:v>
                </c:pt>
                <c:pt idx="3">
                  <c:v>15</c:v>
                </c:pt>
                <c:pt idx="4">
                  <c:v>0</c:v>
                </c:pt>
              </c:numCache>
            </c:numRef>
          </c:val>
          <c:extLst>
            <c:ext xmlns:c16="http://schemas.microsoft.com/office/drawing/2014/chart" uri="{C3380CC4-5D6E-409C-BE32-E72D297353CC}">
              <c16:uniqueId val="{00000001-AE8F-4E0C-914A-18011A660777}"/>
            </c:ext>
          </c:extLst>
        </c:ser>
        <c:dLbls>
          <c:showLegendKey val="0"/>
          <c:showVal val="0"/>
          <c:showCatName val="0"/>
          <c:showSerName val="0"/>
          <c:showPercent val="0"/>
          <c:showBubbleSize val="0"/>
        </c:dLbls>
        <c:gapWidth val="150"/>
        <c:overlap val="100"/>
        <c:axId val="282167692"/>
        <c:axId val="1175961914"/>
      </c:barChart>
      <c:catAx>
        <c:axId val="282167692"/>
        <c:scaling>
          <c:orientation val="minMax"/>
        </c:scaling>
        <c:delete val="0"/>
        <c:axPos val="b"/>
        <c:title>
          <c:tx>
            <c:rich>
              <a:bodyPr/>
              <a:lstStyle/>
              <a:p>
                <a:pPr lvl="0">
                  <a:defRPr b="0">
                    <a:solidFill>
                      <a:srgbClr val="000000"/>
                    </a:solidFill>
                    <a:latin typeface="+mn-lt"/>
                  </a:defRPr>
                </a:pPr>
                <a:endParaRPr lang="ar-SA"/>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175961914"/>
        <c:crosses val="autoZero"/>
        <c:auto val="1"/>
        <c:lblAlgn val="ctr"/>
        <c:lblOffset val="100"/>
        <c:noMultiLvlLbl val="1"/>
      </c:catAx>
      <c:valAx>
        <c:axId val="1175961914"/>
        <c:scaling>
          <c:orientation val="minMax"/>
        </c:scaling>
        <c:delete val="0"/>
        <c:axPos val="l"/>
        <c:numFmt formatCode="General" sourceLinked="1"/>
        <c:majorTickMark val="cross"/>
        <c:minorTickMark val="cross"/>
        <c:tickLblPos val="nextTo"/>
        <c:spPr>
          <a:ln>
            <a:noFill/>
          </a:ln>
        </c:spPr>
        <c:crossAx val="282167692"/>
        <c:crosses val="autoZero"/>
        <c:crossBetween val="between"/>
      </c:valAx>
    </c:plotArea>
    <c:plotVisOnly val="1"/>
    <c:dispBlanksAs val="zero"/>
    <c:showDLblsOverMax val="1"/>
  </c:chart>
  <c:spPr>
    <a:no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28674854133317"/>
          <c:y val="0.16148470040186949"/>
          <c:w val="0.62867337338750762"/>
          <c:h val="0.79134605975520389"/>
        </c:manualLayout>
      </c:layout>
      <c:doughnutChart>
        <c:varyColors val="1"/>
        <c:ser>
          <c:idx val="0"/>
          <c:order val="0"/>
          <c:spPr>
            <a:solidFill>
              <a:schemeClr val="accent1"/>
            </a:solidFill>
          </c:spPr>
          <c:dPt>
            <c:idx val="0"/>
            <c:bubble3D val="0"/>
            <c:spPr>
              <a:solidFill>
                <a:srgbClr val="FFC000"/>
              </a:solidFill>
            </c:spPr>
            <c:extLst>
              <c:ext xmlns:c16="http://schemas.microsoft.com/office/drawing/2014/chart" uri="{C3380CC4-5D6E-409C-BE32-E72D297353CC}">
                <c16:uniqueId val="{00000001-C76C-45CC-BE65-813E162469D4}"/>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'Beneficiaries Breakdown'!$D$11:$E$11</c:f>
              <c:strCache>
                <c:ptCount val="2"/>
                <c:pt idx="0">
                  <c:v>Female</c:v>
                </c:pt>
                <c:pt idx="1">
                  <c:v>Male</c:v>
                </c:pt>
              </c:strCache>
            </c:strRef>
          </c:cat>
          <c:val>
            <c:numRef>
              <c:f>'Beneficiaries Breakdown'!$D$12:$E$12</c:f>
              <c:numCache>
                <c:formatCode>General</c:formatCode>
                <c:ptCount val="2"/>
                <c:pt idx="0">
                  <c:v>40</c:v>
                </c:pt>
                <c:pt idx="1">
                  <c:v>350</c:v>
                </c:pt>
              </c:numCache>
            </c:numRef>
          </c:val>
          <c:extLst>
            <c:ext xmlns:c16="http://schemas.microsoft.com/office/drawing/2014/chart" uri="{C3380CC4-5D6E-409C-BE32-E72D297353CC}">
              <c16:uniqueId val="{00000002-C76C-45CC-BE65-813E162469D4}"/>
            </c:ext>
          </c:extLst>
        </c:ser>
        <c:dLbls>
          <c:showLegendKey val="0"/>
          <c:showVal val="0"/>
          <c:showCatName val="0"/>
          <c:showSerName val="0"/>
          <c:showPercent val="0"/>
          <c:showBubbleSize val="0"/>
          <c:showLeaderLines val="1"/>
        </c:dLbls>
        <c:firstSliceAng val="0"/>
        <c:holeSize val="75"/>
      </c:doughnutChart>
    </c:plotArea>
    <c:legend>
      <c:legendPos val="r"/>
      <c:layout>
        <c:manualLayout>
          <c:xMode val="edge"/>
          <c:yMode val="edge"/>
          <c:x val="3.0382949119311879E-2"/>
          <c:y val="1.896361913094196E-2"/>
          <c:w val="0.65565948834708909"/>
          <c:h val="0.17283172936716243"/>
        </c:manualLayout>
      </c:layout>
      <c:overlay val="0"/>
      <c:txPr>
        <a:bodyPr/>
        <a:lstStyle/>
        <a:p>
          <a:pPr lvl="0">
            <a:defRPr sz="1000" b="0" i="0">
              <a:solidFill>
                <a:srgbClr val="000000"/>
              </a:solidFill>
              <a:latin typeface="+mn-lt"/>
            </a:defRPr>
          </a:pPr>
          <a:endParaRPr lang="en-US"/>
        </a:p>
      </c:txPr>
    </c:legend>
    <c:plotVisOnly val="1"/>
    <c:dispBlanksAs val="zero"/>
    <c:showDLblsOverMax val="1"/>
  </c:chart>
  <c:spPr>
    <a:noFill/>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a:pPr>
            <a:r>
              <a:rPr lang="en-US" sz="1400" b="0"/>
              <a:t>PWDs</a:t>
            </a:r>
          </a:p>
        </c:rich>
      </c:tx>
      <c:overlay val="1"/>
    </c:title>
    <c:autoTitleDeleted val="0"/>
    <c:plotArea>
      <c:layout>
        <c:manualLayout>
          <c:layoutTarget val="inner"/>
          <c:xMode val="edge"/>
          <c:yMode val="edge"/>
          <c:x val="0.19970231084660536"/>
          <c:y val="0.23489687065091031"/>
          <c:w val="0.62867337338750762"/>
          <c:h val="0.79134605975520389"/>
        </c:manualLayout>
      </c:layout>
      <c:doughnutChart>
        <c:varyColors val="1"/>
        <c:ser>
          <c:idx val="0"/>
          <c:order val="0"/>
          <c:spPr>
            <a:solidFill>
              <a:schemeClr val="accent1"/>
            </a:solidFill>
          </c:spPr>
          <c:dPt>
            <c:idx val="0"/>
            <c:bubble3D val="0"/>
            <c:spPr>
              <a:solidFill>
                <a:srgbClr val="FFC000"/>
              </a:solidFill>
            </c:spPr>
            <c:extLst>
              <c:ext xmlns:c16="http://schemas.microsoft.com/office/drawing/2014/chart" uri="{C3380CC4-5D6E-409C-BE32-E72D297353CC}">
                <c16:uniqueId val="{00000001-82C5-4027-A33F-E9A58A9A564C}"/>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'Beneficiaries Breakdown'!$D$16:$E$16</c:f>
              <c:strCache>
                <c:ptCount val="2"/>
                <c:pt idx="0">
                  <c:v>Female</c:v>
                </c:pt>
                <c:pt idx="1">
                  <c:v>Male</c:v>
                </c:pt>
              </c:strCache>
            </c:strRef>
          </c:cat>
          <c:val>
            <c:numRef>
              <c:f>'Beneficiaries Breakdown'!$D$19:$E$19</c:f>
              <c:numCache>
                <c:formatCode>_(* #,##0.00_);_(* \(#,##0.00\);_(* "-"??_);_(@_)</c:formatCode>
                <c:ptCount val="2"/>
                <c:pt idx="0">
                  <c:v>5</c:v>
                </c:pt>
                <c:pt idx="1">
                  <c:v>0</c:v>
                </c:pt>
              </c:numCache>
            </c:numRef>
          </c:val>
          <c:extLst>
            <c:ext xmlns:c16="http://schemas.microsoft.com/office/drawing/2014/chart" uri="{C3380CC4-5D6E-409C-BE32-E72D297353CC}">
              <c16:uniqueId val="{00000002-82C5-4027-A33F-E9A58A9A564C}"/>
            </c:ext>
          </c:extLst>
        </c:ser>
        <c:dLbls>
          <c:showLegendKey val="0"/>
          <c:showVal val="0"/>
          <c:showCatName val="0"/>
          <c:showSerName val="0"/>
          <c:showPercent val="0"/>
          <c:showBubbleSize val="0"/>
          <c:showLeaderLines val="1"/>
        </c:dLbls>
        <c:firstSliceAng val="0"/>
        <c:holeSize val="75"/>
      </c:doughnutChart>
    </c:plotArea>
    <c:legend>
      <c:legendPos val="r"/>
      <c:layout>
        <c:manualLayout>
          <c:xMode val="edge"/>
          <c:yMode val="edge"/>
          <c:x val="5.1769250702979634E-4"/>
          <c:y val="0.12452031496062992"/>
          <c:w val="0.99205300958085563"/>
          <c:h val="0.17349625294338025"/>
        </c:manualLayout>
      </c:layout>
      <c:overlay val="0"/>
      <c:txPr>
        <a:bodyPr/>
        <a:lstStyle/>
        <a:p>
          <a:pPr lvl="0">
            <a:defRPr sz="1000" b="0" i="0">
              <a:solidFill>
                <a:srgbClr val="000000"/>
              </a:solidFill>
              <a:latin typeface="+mn-lt"/>
            </a:defRPr>
          </a:pPr>
          <a:endParaRPr lang="en-US"/>
        </a:p>
      </c:txPr>
    </c:legend>
    <c:plotVisOnly val="1"/>
    <c:dispBlanksAs val="zero"/>
    <c:showDLblsOverMax val="1"/>
  </c:chart>
  <c:spPr>
    <a:no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947613244573339"/>
          <c:y val="7.652124893164336E-2"/>
          <c:w val="0.80774421784295969"/>
          <c:h val="0.70891200378243724"/>
        </c:manualLayout>
      </c:layout>
      <c:barChart>
        <c:barDir val="col"/>
        <c:grouping val="stacked"/>
        <c:varyColors val="1"/>
        <c:ser>
          <c:idx val="0"/>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'Beneficiaries Breakdown'!$H$16:$M$16</c15:sqref>
                  </c15:fullRef>
                </c:ext>
              </c:extLst>
              <c:f>'Beneficiaries Breakdown'!$H$16:$L$16</c:f>
              <c:strCache>
                <c:ptCount val="5"/>
                <c:pt idx="0">
                  <c:v>Children</c:v>
                </c:pt>
                <c:pt idx="1">
                  <c:v>Youth</c:v>
                </c:pt>
                <c:pt idx="2">
                  <c:v>Parents</c:v>
                </c:pt>
                <c:pt idx="3">
                  <c:v>Local Educator</c:v>
                </c:pt>
                <c:pt idx="4">
                  <c:v>NAWA educator</c:v>
                </c:pt>
              </c:strCache>
            </c:strRef>
          </c:cat>
          <c:val>
            <c:numRef>
              <c:extLst>
                <c:ext xmlns:c15="http://schemas.microsoft.com/office/drawing/2012/chart" uri="{02D57815-91ED-43cb-92C2-25804820EDAC}">
                  <c15:fullRef>
                    <c15:sqref>'Beneficiaries Breakdown'!$H$16:$M$16</c15:sqref>
                  </c15:fullRef>
                </c:ext>
              </c:extLst>
              <c:f>'Beneficiaries Breakdown'!$H$16:$L$16</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5039-4998-A8E3-AE7779DC4215}"/>
            </c:ext>
          </c:extLst>
        </c:ser>
        <c:ser>
          <c:idx val="1"/>
          <c:order val="1"/>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'Beneficiaries Breakdown'!$H$16:$M$16</c15:sqref>
                  </c15:fullRef>
                </c:ext>
              </c:extLst>
              <c:f>'Beneficiaries Breakdown'!$H$16:$L$16</c:f>
              <c:strCache>
                <c:ptCount val="5"/>
                <c:pt idx="0">
                  <c:v>Children</c:v>
                </c:pt>
                <c:pt idx="1">
                  <c:v>Youth</c:v>
                </c:pt>
                <c:pt idx="2">
                  <c:v>Parents</c:v>
                </c:pt>
                <c:pt idx="3">
                  <c:v>Local Educator</c:v>
                </c:pt>
                <c:pt idx="4">
                  <c:v>NAWA educator</c:v>
                </c:pt>
              </c:strCache>
            </c:strRef>
          </c:cat>
          <c:val>
            <c:numRef>
              <c:extLst>
                <c:ext xmlns:c15="http://schemas.microsoft.com/office/drawing/2012/chart" uri="{02D57815-91ED-43cb-92C2-25804820EDAC}">
                  <c15:fullRef>
                    <c15:sqref>'Beneficiaries Breakdown'!$H$17:$M$17</c15:sqref>
                  </c15:fullRef>
                </c:ext>
              </c:extLst>
              <c:f>'Beneficiaries Breakdown'!$H$17:$L$17</c:f>
              <c:numCache>
                <c:formatCode>General</c:formatCode>
                <c:ptCount val="5"/>
                <c:pt idx="0">
                  <c:v>65</c:v>
                </c:pt>
                <c:pt idx="1">
                  <c:v>15</c:v>
                </c:pt>
                <c:pt idx="2">
                  <c:v>25</c:v>
                </c:pt>
                <c:pt idx="3">
                  <c:v>0</c:v>
                </c:pt>
                <c:pt idx="4">
                  <c:v>0</c:v>
                </c:pt>
              </c:numCache>
            </c:numRef>
          </c:val>
          <c:extLst>
            <c:ext xmlns:c16="http://schemas.microsoft.com/office/drawing/2014/chart" uri="{C3380CC4-5D6E-409C-BE32-E72D297353CC}">
              <c16:uniqueId val="{00000001-5039-4998-A8E3-AE7779DC4215}"/>
            </c:ext>
          </c:extLst>
        </c:ser>
        <c:dLbls>
          <c:showLegendKey val="0"/>
          <c:showVal val="0"/>
          <c:showCatName val="0"/>
          <c:showSerName val="0"/>
          <c:showPercent val="0"/>
          <c:showBubbleSize val="0"/>
        </c:dLbls>
        <c:gapWidth val="150"/>
        <c:overlap val="100"/>
        <c:axId val="282167692"/>
        <c:axId val="1175961914"/>
      </c:barChart>
      <c:catAx>
        <c:axId val="282167692"/>
        <c:scaling>
          <c:orientation val="minMax"/>
        </c:scaling>
        <c:delete val="0"/>
        <c:axPos val="b"/>
        <c:title>
          <c:tx>
            <c:rich>
              <a:bodyPr/>
              <a:lstStyle/>
              <a:p>
                <a:pPr lvl="0">
                  <a:defRPr b="0">
                    <a:solidFill>
                      <a:srgbClr val="000000"/>
                    </a:solidFill>
                    <a:latin typeface="+mn-lt"/>
                  </a:defRPr>
                </a:pPr>
                <a:endParaRPr lang="ar-SA"/>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175961914"/>
        <c:crosses val="autoZero"/>
        <c:auto val="1"/>
        <c:lblAlgn val="ctr"/>
        <c:lblOffset val="100"/>
        <c:noMultiLvlLbl val="1"/>
      </c:catAx>
      <c:valAx>
        <c:axId val="1175961914"/>
        <c:scaling>
          <c:orientation val="minMax"/>
        </c:scaling>
        <c:delete val="0"/>
        <c:axPos val="l"/>
        <c:numFmt formatCode="General" sourceLinked="1"/>
        <c:majorTickMark val="cross"/>
        <c:minorTickMark val="cross"/>
        <c:tickLblPos val="nextTo"/>
        <c:spPr>
          <a:ln>
            <a:noFill/>
          </a:ln>
        </c:spPr>
        <c:crossAx val="282167692"/>
        <c:crosses val="autoZero"/>
        <c:crossBetween val="between"/>
      </c:valAx>
    </c:plotArea>
    <c:plotVisOnly val="1"/>
    <c:dispBlanksAs val="zero"/>
    <c:showDLblsOverMax val="1"/>
  </c:chart>
  <c:spPr>
    <a:noFill/>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28674854133317"/>
          <c:y val="0.16148470040186949"/>
          <c:w val="0.62867337338750762"/>
          <c:h val="0.79134605975520389"/>
        </c:manualLayout>
      </c:layout>
      <c:doughnutChart>
        <c:varyColors val="1"/>
        <c:ser>
          <c:idx val="0"/>
          <c:order val="0"/>
          <c:spPr>
            <a:solidFill>
              <a:schemeClr val="accent1"/>
            </a:solidFill>
          </c:spPr>
          <c:dPt>
            <c:idx val="0"/>
            <c:bubble3D val="0"/>
            <c:spPr>
              <a:solidFill>
                <a:srgbClr val="FFC000"/>
              </a:solidFill>
            </c:spPr>
            <c:extLst>
              <c:ext xmlns:c16="http://schemas.microsoft.com/office/drawing/2014/chart" uri="{C3380CC4-5D6E-409C-BE32-E72D297353CC}">
                <c16:uniqueId val="{00000001-077F-44F6-8AE2-50B4C58FB2DC}"/>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'Beneficiaries Breakdown'!$D$16:$E$16</c:f>
              <c:strCache>
                <c:ptCount val="2"/>
                <c:pt idx="0">
                  <c:v>Female</c:v>
                </c:pt>
                <c:pt idx="1">
                  <c:v>Male</c:v>
                </c:pt>
              </c:strCache>
            </c:strRef>
          </c:cat>
          <c:val>
            <c:numRef>
              <c:f>'Beneficiaries Breakdown'!$D$17:$E$17</c:f>
              <c:numCache>
                <c:formatCode>General</c:formatCode>
                <c:ptCount val="2"/>
                <c:pt idx="0">
                  <c:v>50</c:v>
                </c:pt>
                <c:pt idx="1">
                  <c:v>15</c:v>
                </c:pt>
              </c:numCache>
            </c:numRef>
          </c:val>
          <c:extLst>
            <c:ext xmlns:c16="http://schemas.microsoft.com/office/drawing/2014/chart" uri="{C3380CC4-5D6E-409C-BE32-E72D297353CC}">
              <c16:uniqueId val="{00000002-077F-44F6-8AE2-50B4C58FB2DC}"/>
            </c:ext>
          </c:extLst>
        </c:ser>
        <c:dLbls>
          <c:showLegendKey val="0"/>
          <c:showVal val="0"/>
          <c:showCatName val="0"/>
          <c:showSerName val="0"/>
          <c:showPercent val="0"/>
          <c:showBubbleSize val="0"/>
          <c:showLeaderLines val="1"/>
        </c:dLbls>
        <c:firstSliceAng val="0"/>
        <c:holeSize val="75"/>
      </c:doughnutChart>
    </c:plotArea>
    <c:legend>
      <c:legendPos val="r"/>
      <c:layout>
        <c:manualLayout>
          <c:xMode val="edge"/>
          <c:yMode val="edge"/>
          <c:x val="3.0382949119311879E-2"/>
          <c:y val="1.896361913094196E-2"/>
          <c:w val="0.65565948834708909"/>
          <c:h val="0.17283172936716243"/>
        </c:manualLayout>
      </c:layout>
      <c:overlay val="0"/>
      <c:txPr>
        <a:bodyPr/>
        <a:lstStyle/>
        <a:p>
          <a:pPr lvl="0">
            <a:defRPr sz="1000" b="0" i="0">
              <a:solidFill>
                <a:srgbClr val="000000"/>
              </a:solidFill>
              <a:latin typeface="+mn-lt"/>
            </a:defRPr>
          </a:pPr>
          <a:endParaRPr lang="en-US"/>
        </a:p>
      </c:txPr>
    </c:legend>
    <c:plotVisOnly val="1"/>
    <c:dispBlanksAs val="zero"/>
    <c:showDLblsOverMax val="1"/>
  </c:chart>
  <c:spPr>
    <a:noFill/>
    <a:ln>
      <a:no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a:t>PWDs</a:t>
            </a:r>
          </a:p>
        </c:rich>
      </c:tx>
      <c:layout>
        <c:manualLayout>
          <c:xMode val="edge"/>
          <c:yMode val="edge"/>
          <c:x val="0.34125166793816109"/>
          <c:y val="0"/>
        </c:manualLayout>
      </c:layout>
      <c:overlay val="1"/>
    </c:title>
    <c:autoTitleDeleted val="0"/>
    <c:plotArea>
      <c:layout>
        <c:manualLayout>
          <c:layoutTarget val="inner"/>
          <c:xMode val="edge"/>
          <c:yMode val="edge"/>
          <c:x val="0.19970231084660536"/>
          <c:y val="0.23489687065091031"/>
          <c:w val="0.62867337338750762"/>
          <c:h val="0.79134605975520389"/>
        </c:manualLayout>
      </c:layout>
      <c:doughnutChart>
        <c:varyColors val="1"/>
        <c:ser>
          <c:idx val="0"/>
          <c:order val="0"/>
          <c:spPr>
            <a:solidFill>
              <a:schemeClr val="accent1"/>
            </a:solidFill>
          </c:spPr>
          <c:dPt>
            <c:idx val="0"/>
            <c:bubble3D val="0"/>
            <c:spPr>
              <a:solidFill>
                <a:srgbClr val="FFC000"/>
              </a:solidFill>
            </c:spPr>
            <c:extLst>
              <c:ext xmlns:c16="http://schemas.microsoft.com/office/drawing/2014/chart" uri="{C3380CC4-5D6E-409C-BE32-E72D297353CC}">
                <c16:uniqueId val="{00000001-AF98-44C3-B123-27762D093B4E}"/>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'Beneficiaries Breakdown'!$D$21:$E$21</c:f>
              <c:strCache>
                <c:ptCount val="2"/>
                <c:pt idx="0">
                  <c:v>Female</c:v>
                </c:pt>
                <c:pt idx="1">
                  <c:v>Male</c:v>
                </c:pt>
              </c:strCache>
            </c:strRef>
          </c:cat>
          <c:val>
            <c:numRef>
              <c:f>'Beneficiaries Breakdown'!$D$24:$E$24</c:f>
              <c:numCache>
                <c:formatCode>_(* #,##0.00_);_(* \(#,##0.00\);_(* "-"??_);_(@_)</c:formatCode>
                <c:ptCount val="2"/>
                <c:pt idx="0">
                  <c:v>3</c:v>
                </c:pt>
                <c:pt idx="1">
                  <c:v>2</c:v>
                </c:pt>
              </c:numCache>
            </c:numRef>
          </c:val>
          <c:extLst>
            <c:ext xmlns:c16="http://schemas.microsoft.com/office/drawing/2014/chart" uri="{C3380CC4-5D6E-409C-BE32-E72D297353CC}">
              <c16:uniqueId val="{00000002-AF98-44C3-B123-27762D093B4E}"/>
            </c:ext>
          </c:extLst>
        </c:ser>
        <c:dLbls>
          <c:showLegendKey val="0"/>
          <c:showVal val="0"/>
          <c:showCatName val="0"/>
          <c:showSerName val="0"/>
          <c:showPercent val="0"/>
          <c:showBubbleSize val="0"/>
          <c:showLeaderLines val="1"/>
        </c:dLbls>
        <c:firstSliceAng val="0"/>
        <c:holeSize val="75"/>
      </c:doughnutChart>
    </c:plotArea>
    <c:legend>
      <c:legendPos val="r"/>
      <c:layout>
        <c:manualLayout>
          <c:xMode val="edge"/>
          <c:yMode val="edge"/>
          <c:x val="7.9467262237285681E-3"/>
          <c:y val="0.14052031496062992"/>
          <c:w val="0.99205300958085563"/>
          <c:h val="0.17349625294338025"/>
        </c:manualLayout>
      </c:layout>
      <c:overlay val="0"/>
      <c:txPr>
        <a:bodyPr/>
        <a:lstStyle/>
        <a:p>
          <a:pPr lvl="0">
            <a:defRPr sz="1000" b="0" i="0">
              <a:solidFill>
                <a:srgbClr val="000000"/>
              </a:solidFill>
              <a:latin typeface="+mn-lt"/>
            </a:defRPr>
          </a:pPr>
          <a:endParaRPr lang="en-US"/>
        </a:p>
      </c:txPr>
    </c:legend>
    <c:plotVisOnly val="1"/>
    <c:dispBlanksAs val="zero"/>
    <c:showDLblsOverMax val="1"/>
  </c:chart>
  <c:spPr>
    <a:noFill/>
    <a:ln>
      <a:no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947613244573339"/>
          <c:y val="7.652124893164336E-2"/>
          <c:w val="0.80774421784295969"/>
          <c:h val="0.70891200378243724"/>
        </c:manualLayout>
      </c:layout>
      <c:barChart>
        <c:barDir val="col"/>
        <c:grouping val="stacked"/>
        <c:varyColors val="1"/>
        <c:ser>
          <c:idx val="0"/>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'Beneficiaries Breakdown'!$H$21:$M$21</c15:sqref>
                  </c15:fullRef>
                </c:ext>
              </c:extLst>
              <c:f>'Beneficiaries Breakdown'!$H$21:$L$21</c:f>
              <c:strCache>
                <c:ptCount val="5"/>
                <c:pt idx="0">
                  <c:v>Children</c:v>
                </c:pt>
                <c:pt idx="1">
                  <c:v>Youth</c:v>
                </c:pt>
                <c:pt idx="2">
                  <c:v>Parents</c:v>
                </c:pt>
                <c:pt idx="3">
                  <c:v>Local Educator</c:v>
                </c:pt>
                <c:pt idx="4">
                  <c:v>NAWA educator</c:v>
                </c:pt>
              </c:strCache>
            </c:strRef>
          </c:cat>
          <c:val>
            <c:numRef>
              <c:extLst>
                <c:ext xmlns:c15="http://schemas.microsoft.com/office/drawing/2012/chart" uri="{02D57815-91ED-43cb-92C2-25804820EDAC}">
                  <c15:fullRef>
                    <c15:sqref>'Beneficiaries Breakdown'!$H$21:$M$21</c15:sqref>
                  </c15:fullRef>
                </c:ext>
              </c:extLst>
              <c:f>'Beneficiaries Breakdown'!$H$21:$L$21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3F10-4A2C-88CE-209F11BC57A2}"/>
            </c:ext>
          </c:extLst>
        </c:ser>
        <c:ser>
          <c:idx val="1"/>
          <c:order val="1"/>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'Beneficiaries Breakdown'!$H$21:$M$21</c15:sqref>
                  </c15:fullRef>
                </c:ext>
              </c:extLst>
              <c:f>'Beneficiaries Breakdown'!$H$21:$L$21</c:f>
              <c:strCache>
                <c:ptCount val="5"/>
                <c:pt idx="0">
                  <c:v>Children</c:v>
                </c:pt>
                <c:pt idx="1">
                  <c:v>Youth</c:v>
                </c:pt>
                <c:pt idx="2">
                  <c:v>Parents</c:v>
                </c:pt>
                <c:pt idx="3">
                  <c:v>Local Educator</c:v>
                </c:pt>
                <c:pt idx="4">
                  <c:v>NAWA educator</c:v>
                </c:pt>
              </c:strCache>
            </c:strRef>
          </c:cat>
          <c:val>
            <c:numRef>
              <c:extLst>
                <c:ext xmlns:c15="http://schemas.microsoft.com/office/drawing/2012/chart" uri="{02D57815-91ED-43cb-92C2-25804820EDAC}">
                  <c15:fullRef>
                    <c15:sqref>'Beneficiaries Breakdown'!$H$22:$M$22</c15:sqref>
                  </c15:fullRef>
                </c:ext>
              </c:extLst>
              <c:f>'Beneficiaries Breakdown'!$H$22:$L$22</c:f>
              <c:numCache>
                <c:formatCode>General</c:formatCode>
                <c:ptCount val="5"/>
                <c:pt idx="0">
                  <c:v>25</c:v>
                </c:pt>
                <c:pt idx="1">
                  <c:v>3</c:v>
                </c:pt>
                <c:pt idx="2">
                  <c:v>18</c:v>
                </c:pt>
                <c:pt idx="3">
                  <c:v>3</c:v>
                </c:pt>
                <c:pt idx="4">
                  <c:v>2</c:v>
                </c:pt>
              </c:numCache>
            </c:numRef>
          </c:val>
          <c:extLst>
            <c:ext xmlns:c16="http://schemas.microsoft.com/office/drawing/2014/chart" uri="{C3380CC4-5D6E-409C-BE32-E72D297353CC}">
              <c16:uniqueId val="{00000001-3F10-4A2C-88CE-209F11BC57A2}"/>
            </c:ext>
          </c:extLst>
        </c:ser>
        <c:dLbls>
          <c:showLegendKey val="0"/>
          <c:showVal val="0"/>
          <c:showCatName val="0"/>
          <c:showSerName val="0"/>
          <c:showPercent val="0"/>
          <c:showBubbleSize val="0"/>
        </c:dLbls>
        <c:gapWidth val="150"/>
        <c:overlap val="100"/>
        <c:axId val="282167692"/>
        <c:axId val="1175961914"/>
      </c:barChart>
      <c:catAx>
        <c:axId val="282167692"/>
        <c:scaling>
          <c:orientation val="minMax"/>
        </c:scaling>
        <c:delete val="0"/>
        <c:axPos val="b"/>
        <c:title>
          <c:tx>
            <c:rich>
              <a:bodyPr/>
              <a:lstStyle/>
              <a:p>
                <a:pPr lvl="0">
                  <a:defRPr b="0">
                    <a:solidFill>
                      <a:srgbClr val="000000"/>
                    </a:solidFill>
                    <a:latin typeface="+mn-lt"/>
                  </a:defRPr>
                </a:pPr>
                <a:endParaRPr lang="ar-SA"/>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175961914"/>
        <c:crosses val="autoZero"/>
        <c:auto val="1"/>
        <c:lblAlgn val="ctr"/>
        <c:lblOffset val="100"/>
        <c:noMultiLvlLbl val="1"/>
      </c:catAx>
      <c:valAx>
        <c:axId val="1175961914"/>
        <c:scaling>
          <c:orientation val="minMax"/>
        </c:scaling>
        <c:delete val="0"/>
        <c:axPos val="l"/>
        <c:numFmt formatCode="General" sourceLinked="1"/>
        <c:majorTickMark val="cross"/>
        <c:minorTickMark val="cross"/>
        <c:tickLblPos val="nextTo"/>
        <c:spPr>
          <a:ln>
            <a:noFill/>
          </a:ln>
        </c:spPr>
        <c:crossAx val="282167692"/>
        <c:crosses val="autoZero"/>
        <c:crossBetween val="between"/>
      </c:valAx>
    </c:plotArea>
    <c:plotVisOnly val="1"/>
    <c:dispBlanksAs val="zero"/>
    <c:showDLblsOverMax val="1"/>
  </c:chart>
  <c:spPr>
    <a:noFill/>
    <a:ln>
      <a:no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28674854133317"/>
          <c:y val="0.16148470040186949"/>
          <c:w val="0.62867337338750762"/>
          <c:h val="0.79134605975520389"/>
        </c:manualLayout>
      </c:layout>
      <c:doughnutChart>
        <c:varyColors val="1"/>
        <c:ser>
          <c:idx val="0"/>
          <c:order val="0"/>
          <c:spPr>
            <a:solidFill>
              <a:schemeClr val="accent1"/>
            </a:solidFill>
          </c:spPr>
          <c:dPt>
            <c:idx val="0"/>
            <c:bubble3D val="0"/>
            <c:spPr>
              <a:solidFill>
                <a:srgbClr val="FFC000"/>
              </a:solidFill>
            </c:spPr>
            <c:extLst>
              <c:ext xmlns:c16="http://schemas.microsoft.com/office/drawing/2014/chart" uri="{C3380CC4-5D6E-409C-BE32-E72D297353CC}">
                <c16:uniqueId val="{00000001-EE65-40AD-A4BC-9B1F81A87635}"/>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'Beneficiaries Breakdown'!$D$21:$E$21</c:f>
              <c:strCache>
                <c:ptCount val="2"/>
                <c:pt idx="0">
                  <c:v>Female</c:v>
                </c:pt>
                <c:pt idx="1">
                  <c:v>Male</c:v>
                </c:pt>
              </c:strCache>
            </c:strRef>
          </c:cat>
          <c:val>
            <c:numRef>
              <c:f>'Beneficiaries Breakdown'!$D$22:$E$22</c:f>
              <c:numCache>
                <c:formatCode>General</c:formatCode>
                <c:ptCount val="2"/>
                <c:pt idx="0">
                  <c:v>15</c:v>
                </c:pt>
                <c:pt idx="1">
                  <c:v>20</c:v>
                </c:pt>
              </c:numCache>
            </c:numRef>
          </c:val>
          <c:extLst>
            <c:ext xmlns:c16="http://schemas.microsoft.com/office/drawing/2014/chart" uri="{C3380CC4-5D6E-409C-BE32-E72D297353CC}">
              <c16:uniqueId val="{00000002-EE65-40AD-A4BC-9B1F81A87635}"/>
            </c:ext>
          </c:extLst>
        </c:ser>
        <c:dLbls>
          <c:showLegendKey val="0"/>
          <c:showVal val="0"/>
          <c:showCatName val="0"/>
          <c:showSerName val="0"/>
          <c:showPercent val="0"/>
          <c:showBubbleSize val="0"/>
          <c:showLeaderLines val="1"/>
        </c:dLbls>
        <c:firstSliceAng val="0"/>
        <c:holeSize val="75"/>
      </c:doughnutChart>
    </c:plotArea>
    <c:legend>
      <c:legendPos val="r"/>
      <c:layout>
        <c:manualLayout>
          <c:xMode val="edge"/>
          <c:yMode val="edge"/>
          <c:x val="3.0382949119311879E-2"/>
          <c:y val="1.896361913094196E-2"/>
          <c:w val="0.65565948834708909"/>
          <c:h val="0.17283172936716243"/>
        </c:manualLayout>
      </c:layout>
      <c:overlay val="0"/>
      <c:txPr>
        <a:bodyPr/>
        <a:lstStyle/>
        <a:p>
          <a:pPr lvl="0">
            <a:defRPr sz="1000" b="0" i="0">
              <a:solidFill>
                <a:srgbClr val="000000"/>
              </a:solidFill>
              <a:latin typeface="+mn-lt"/>
            </a:defRPr>
          </a:pPr>
          <a:endParaRPr lang="en-US"/>
        </a:p>
      </c:txPr>
    </c:legend>
    <c:plotVisOnly val="1"/>
    <c:dispBlanksAs val="zero"/>
    <c:showDLblsOverMax val="1"/>
  </c:chart>
  <c:spPr>
    <a:noFill/>
    <a:ln>
      <a:noFill/>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a:t>PWDs</a:t>
            </a:r>
          </a:p>
        </c:rich>
      </c:tx>
      <c:layout>
        <c:manualLayout>
          <c:xMode val="edge"/>
          <c:yMode val="edge"/>
          <c:x val="0.35092832207305003"/>
          <c:y val="0"/>
        </c:manualLayout>
      </c:layout>
      <c:overlay val="1"/>
    </c:title>
    <c:autoTitleDeleted val="0"/>
    <c:plotArea>
      <c:layout>
        <c:manualLayout>
          <c:layoutTarget val="inner"/>
          <c:xMode val="edge"/>
          <c:yMode val="edge"/>
          <c:x val="0.19970231084660536"/>
          <c:y val="0.23489687065091031"/>
          <c:w val="0.62867337338750762"/>
          <c:h val="0.79134605975520389"/>
        </c:manualLayout>
      </c:layout>
      <c:doughnutChart>
        <c:varyColors val="1"/>
        <c:ser>
          <c:idx val="0"/>
          <c:order val="0"/>
          <c:spPr>
            <a:solidFill>
              <a:schemeClr val="accent1"/>
            </a:solidFill>
          </c:spPr>
          <c:dPt>
            <c:idx val="0"/>
            <c:bubble3D val="0"/>
            <c:spPr>
              <a:solidFill>
                <a:srgbClr val="FFC000"/>
              </a:solidFill>
            </c:spPr>
            <c:extLst>
              <c:ext xmlns:c16="http://schemas.microsoft.com/office/drawing/2014/chart" uri="{C3380CC4-5D6E-409C-BE32-E72D297353CC}">
                <c16:uniqueId val="{00000001-7D1B-49CA-818C-0C7B243DC8C3}"/>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'Beneficiaries Breakdown'!$D$26:$E$26</c:f>
              <c:strCache>
                <c:ptCount val="2"/>
                <c:pt idx="0">
                  <c:v>Female</c:v>
                </c:pt>
                <c:pt idx="1">
                  <c:v>Male</c:v>
                </c:pt>
              </c:strCache>
            </c:strRef>
          </c:cat>
          <c:val>
            <c:numRef>
              <c:f>'Beneficiaries Breakdown'!$D$29:$E$29</c:f>
              <c:numCache>
                <c:formatCode>_(* #,##0.00_);_(* \(#,##0.00\);_(* "-"??_);_(@_)</c:formatCode>
                <c:ptCount val="2"/>
                <c:pt idx="0">
                  <c:v>2</c:v>
                </c:pt>
                <c:pt idx="1">
                  <c:v>3</c:v>
                </c:pt>
              </c:numCache>
            </c:numRef>
          </c:val>
          <c:extLst>
            <c:ext xmlns:c16="http://schemas.microsoft.com/office/drawing/2014/chart" uri="{C3380CC4-5D6E-409C-BE32-E72D297353CC}">
              <c16:uniqueId val="{00000002-7D1B-49CA-818C-0C7B243DC8C3}"/>
            </c:ext>
          </c:extLst>
        </c:ser>
        <c:dLbls>
          <c:showLegendKey val="0"/>
          <c:showVal val="0"/>
          <c:showCatName val="0"/>
          <c:showSerName val="0"/>
          <c:showPercent val="0"/>
          <c:showBubbleSize val="0"/>
          <c:showLeaderLines val="1"/>
        </c:dLbls>
        <c:firstSliceAng val="0"/>
        <c:holeSize val="75"/>
      </c:doughnutChart>
    </c:plotArea>
    <c:legend>
      <c:legendPos val="r"/>
      <c:layout>
        <c:manualLayout>
          <c:xMode val="edge"/>
          <c:yMode val="edge"/>
          <c:x val="5.1769250702979634E-4"/>
          <c:y val="0.14052031496062992"/>
          <c:w val="0.99205300958085563"/>
          <c:h val="0.17349625294338025"/>
        </c:manualLayout>
      </c:layout>
      <c:overlay val="0"/>
      <c:txPr>
        <a:bodyPr/>
        <a:lstStyle/>
        <a:p>
          <a:pPr lvl="0">
            <a:defRPr sz="1000" b="0" i="0">
              <a:solidFill>
                <a:srgbClr val="000000"/>
              </a:solidFill>
              <a:latin typeface="+mn-lt"/>
            </a:defRPr>
          </a:pPr>
          <a:endParaRPr lang="en-US"/>
        </a:p>
      </c:txPr>
    </c:legend>
    <c:plotVisOnly val="1"/>
    <c:dispBlanksAs val="zero"/>
    <c:showDLblsOverMax val="1"/>
  </c:chart>
  <c:spPr>
    <a:noFill/>
    <a:ln>
      <a:noFill/>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947613244573339"/>
          <c:y val="7.652124893164336E-2"/>
          <c:w val="0.80774421784295969"/>
          <c:h val="0.70891200378243724"/>
        </c:manualLayout>
      </c:layout>
      <c:barChart>
        <c:barDir val="col"/>
        <c:grouping val="stacked"/>
        <c:varyColors val="1"/>
        <c:ser>
          <c:idx val="0"/>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'Beneficiaries Breakdown'!$H$26:$M$26</c15:sqref>
                  </c15:fullRef>
                </c:ext>
              </c:extLst>
              <c:f>'Beneficiaries Breakdown'!$H$26:$L$26</c:f>
              <c:strCache>
                <c:ptCount val="5"/>
                <c:pt idx="0">
                  <c:v>Children</c:v>
                </c:pt>
                <c:pt idx="1">
                  <c:v>Youth</c:v>
                </c:pt>
                <c:pt idx="2">
                  <c:v>Parents</c:v>
                </c:pt>
                <c:pt idx="3">
                  <c:v>Local Educator</c:v>
                </c:pt>
                <c:pt idx="4">
                  <c:v>NAWA educator</c:v>
                </c:pt>
              </c:strCache>
            </c:strRef>
          </c:cat>
          <c:val>
            <c:numRef>
              <c:extLst>
                <c:ext xmlns:c15="http://schemas.microsoft.com/office/drawing/2012/chart" uri="{02D57815-91ED-43cb-92C2-25804820EDAC}">
                  <c15:fullRef>
                    <c15:sqref>'Beneficiaries Breakdown'!$H$26:$M$26</c15:sqref>
                  </c15:fullRef>
                </c:ext>
              </c:extLst>
              <c:f>'Beneficiaries Breakdown'!$H$26:$L$26</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01F4-46E6-A07A-21540966352E}"/>
            </c:ext>
          </c:extLst>
        </c:ser>
        <c:ser>
          <c:idx val="1"/>
          <c:order val="1"/>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'Beneficiaries Breakdown'!$H$26:$M$26</c15:sqref>
                  </c15:fullRef>
                </c:ext>
              </c:extLst>
              <c:f>'Beneficiaries Breakdown'!$H$26:$L$26</c:f>
              <c:strCache>
                <c:ptCount val="5"/>
                <c:pt idx="0">
                  <c:v>Children</c:v>
                </c:pt>
                <c:pt idx="1">
                  <c:v>Youth</c:v>
                </c:pt>
                <c:pt idx="2">
                  <c:v>Parents</c:v>
                </c:pt>
                <c:pt idx="3">
                  <c:v>Local Educator</c:v>
                </c:pt>
                <c:pt idx="4">
                  <c:v>NAWA educator</c:v>
                </c:pt>
              </c:strCache>
            </c:strRef>
          </c:cat>
          <c:val>
            <c:numRef>
              <c:extLst>
                <c:ext xmlns:c15="http://schemas.microsoft.com/office/drawing/2012/chart" uri="{02D57815-91ED-43cb-92C2-25804820EDAC}">
                  <c15:fullRef>
                    <c15:sqref>'Beneficiaries Breakdown'!$H$27:$M$27</c15:sqref>
                  </c15:fullRef>
                </c:ext>
              </c:extLst>
              <c:f>'Beneficiaries Breakdown'!$H$27:$L$27</c:f>
              <c:numCache>
                <c:formatCode>General</c:formatCode>
                <c:ptCount val="5"/>
                <c:pt idx="0">
                  <c:v>0</c:v>
                </c:pt>
                <c:pt idx="1">
                  <c:v>25</c:v>
                </c:pt>
                <c:pt idx="2">
                  <c:v>20</c:v>
                </c:pt>
                <c:pt idx="3">
                  <c:v>43</c:v>
                </c:pt>
                <c:pt idx="4">
                  <c:v>2</c:v>
                </c:pt>
              </c:numCache>
            </c:numRef>
          </c:val>
          <c:extLst>
            <c:ext xmlns:c16="http://schemas.microsoft.com/office/drawing/2014/chart" uri="{C3380CC4-5D6E-409C-BE32-E72D297353CC}">
              <c16:uniqueId val="{00000001-01F4-46E6-A07A-21540966352E}"/>
            </c:ext>
          </c:extLst>
        </c:ser>
        <c:dLbls>
          <c:showLegendKey val="0"/>
          <c:showVal val="0"/>
          <c:showCatName val="0"/>
          <c:showSerName val="0"/>
          <c:showPercent val="0"/>
          <c:showBubbleSize val="0"/>
        </c:dLbls>
        <c:gapWidth val="150"/>
        <c:overlap val="100"/>
        <c:axId val="282167692"/>
        <c:axId val="1175961914"/>
      </c:barChart>
      <c:catAx>
        <c:axId val="282167692"/>
        <c:scaling>
          <c:orientation val="minMax"/>
        </c:scaling>
        <c:delete val="0"/>
        <c:axPos val="b"/>
        <c:title>
          <c:tx>
            <c:rich>
              <a:bodyPr/>
              <a:lstStyle/>
              <a:p>
                <a:pPr lvl="0">
                  <a:defRPr b="0">
                    <a:solidFill>
                      <a:srgbClr val="000000"/>
                    </a:solidFill>
                    <a:latin typeface="+mn-lt"/>
                  </a:defRPr>
                </a:pPr>
                <a:endParaRPr lang="ar-SA"/>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175961914"/>
        <c:crosses val="autoZero"/>
        <c:auto val="1"/>
        <c:lblAlgn val="ctr"/>
        <c:lblOffset val="100"/>
        <c:noMultiLvlLbl val="1"/>
      </c:catAx>
      <c:valAx>
        <c:axId val="1175961914"/>
        <c:scaling>
          <c:orientation val="minMax"/>
        </c:scaling>
        <c:delete val="0"/>
        <c:axPos val="l"/>
        <c:numFmt formatCode="General" sourceLinked="1"/>
        <c:majorTickMark val="cross"/>
        <c:minorTickMark val="cross"/>
        <c:tickLblPos val="nextTo"/>
        <c:spPr>
          <a:ln>
            <a:noFill/>
          </a:ln>
        </c:spPr>
        <c:crossAx val="282167692"/>
        <c:crosses val="autoZero"/>
        <c:crossBetween val="between"/>
      </c:valAx>
    </c:plotArea>
    <c:plotVisOnly val="1"/>
    <c:dispBlanksAs val="zero"/>
    <c:showDLblsOverMax val="1"/>
  </c:chart>
  <c:spPr>
    <a:noFill/>
    <a:ln>
      <a:noFill/>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28674854133317"/>
          <c:y val="0.16148470040186949"/>
          <c:w val="0.62867337338750762"/>
          <c:h val="0.79134605975520389"/>
        </c:manualLayout>
      </c:layout>
      <c:doughnutChart>
        <c:varyColors val="1"/>
        <c:ser>
          <c:idx val="0"/>
          <c:order val="0"/>
          <c:spPr>
            <a:solidFill>
              <a:schemeClr val="accent1"/>
            </a:solidFill>
          </c:spPr>
          <c:dPt>
            <c:idx val="0"/>
            <c:bubble3D val="0"/>
            <c:spPr>
              <a:solidFill>
                <a:srgbClr val="FFC000"/>
              </a:solidFill>
            </c:spPr>
            <c:extLst>
              <c:ext xmlns:c16="http://schemas.microsoft.com/office/drawing/2014/chart" uri="{C3380CC4-5D6E-409C-BE32-E72D297353CC}">
                <c16:uniqueId val="{00000001-BA1F-4F75-B311-2A9FAFCD16A3}"/>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'Beneficiaries Breakdown'!$D$26:$E$26</c:f>
              <c:strCache>
                <c:ptCount val="2"/>
                <c:pt idx="0">
                  <c:v>Female</c:v>
                </c:pt>
                <c:pt idx="1">
                  <c:v>Male</c:v>
                </c:pt>
              </c:strCache>
            </c:strRef>
          </c:cat>
          <c:val>
            <c:numRef>
              <c:f>'Beneficiaries Breakdown'!$D$27:$E$27</c:f>
              <c:numCache>
                <c:formatCode>General</c:formatCode>
                <c:ptCount val="2"/>
                <c:pt idx="0">
                  <c:v>20</c:v>
                </c:pt>
                <c:pt idx="1">
                  <c:v>40</c:v>
                </c:pt>
              </c:numCache>
            </c:numRef>
          </c:val>
          <c:extLst>
            <c:ext xmlns:c16="http://schemas.microsoft.com/office/drawing/2014/chart" uri="{C3380CC4-5D6E-409C-BE32-E72D297353CC}">
              <c16:uniqueId val="{00000002-BA1F-4F75-B311-2A9FAFCD16A3}"/>
            </c:ext>
          </c:extLst>
        </c:ser>
        <c:dLbls>
          <c:showLegendKey val="0"/>
          <c:showVal val="0"/>
          <c:showCatName val="0"/>
          <c:showSerName val="0"/>
          <c:showPercent val="0"/>
          <c:showBubbleSize val="0"/>
          <c:showLeaderLines val="1"/>
        </c:dLbls>
        <c:firstSliceAng val="0"/>
        <c:holeSize val="75"/>
      </c:doughnutChart>
    </c:plotArea>
    <c:legend>
      <c:legendPos val="r"/>
      <c:layout>
        <c:manualLayout>
          <c:xMode val="edge"/>
          <c:yMode val="edge"/>
          <c:x val="3.0382949119311879E-2"/>
          <c:y val="1.896361913094196E-2"/>
          <c:w val="0.65565948834708909"/>
          <c:h val="0.17283172936716243"/>
        </c:manualLayout>
      </c:layout>
      <c:overlay val="0"/>
      <c:txPr>
        <a:bodyPr/>
        <a:lstStyle/>
        <a:p>
          <a:pPr lvl="0">
            <a:defRPr sz="1000" b="0" i="0">
              <a:solidFill>
                <a:srgbClr val="000000"/>
              </a:solidFill>
              <a:latin typeface="+mn-lt"/>
            </a:defRPr>
          </a:pPr>
          <a:endParaRPr lang="en-US"/>
        </a:p>
      </c:txPr>
    </c:legend>
    <c:plotVisOnly val="1"/>
    <c:dispBlanksAs val="zero"/>
    <c:showDLblsOverMax val="1"/>
  </c:chart>
  <c:spPr>
    <a:noFill/>
    <a:ln>
      <a:noFill/>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US"/>
              <a:t>progress view</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'MEAL Calendar'!#REF!</c:f>
              <c:strCache>
                <c:ptCount val="1"/>
                <c:pt idx="0">
                  <c:v>#REF!</c:v>
                </c:pt>
              </c:strCache>
            </c:strRef>
          </c:tx>
          <c:spPr>
            <a:ln w="28575" cap="rnd">
              <a:solidFill>
                <a:schemeClr val="accent1"/>
              </a:solidFill>
              <a:round/>
            </a:ln>
            <a:effectLst/>
          </c:spPr>
          <c:marker>
            <c:symbol val="none"/>
          </c:marker>
          <c:cat>
            <c:strRef>
              <c:f>'MEAL Calendar'!$B$71:$B$76</c:f>
              <c:strCache>
                <c:ptCount val="6"/>
                <c:pt idx="0">
                  <c:v>Monitoring visits</c:v>
                </c:pt>
                <c:pt idx="1">
                  <c:v>Baseline</c:v>
                </c:pt>
                <c:pt idx="2">
                  <c:v>Endine</c:v>
                </c:pt>
                <c:pt idx="3">
                  <c:v>Accountability: Feedback and Complaint Mechanism</c:v>
                </c:pt>
                <c:pt idx="4">
                  <c:v>Mid-term Review</c:v>
                </c:pt>
                <c:pt idx="5">
                  <c:v>Reporting</c:v>
                </c:pt>
              </c:strCache>
            </c:strRef>
          </c:cat>
          <c:val>
            <c:numRef>
              <c:f>'MEAL Calendar'!#REF!</c:f>
              <c:numCache>
                <c:formatCode>General</c:formatCode>
                <c:ptCount val="1"/>
                <c:pt idx="0">
                  <c:v>1</c:v>
                </c:pt>
              </c:numCache>
            </c:numRef>
          </c:val>
          <c:smooth val="0"/>
          <c:extLst>
            <c:ext xmlns:c16="http://schemas.microsoft.com/office/drawing/2014/chart" uri="{C3380CC4-5D6E-409C-BE32-E72D297353CC}">
              <c16:uniqueId val="{00000000-2368-4FD6-9F26-E004F411479E}"/>
            </c:ext>
          </c:extLst>
        </c:ser>
        <c:ser>
          <c:idx val="1"/>
          <c:order val="1"/>
          <c:tx>
            <c:strRef>
              <c:f>'MEAL Calendar'!$D$70</c:f>
              <c:strCache>
                <c:ptCount val="1"/>
                <c:pt idx="0">
                  <c:v>Real Progress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'MEAL Calendar'!$B$71:$B$76</c:f>
              <c:strCache>
                <c:ptCount val="6"/>
                <c:pt idx="0">
                  <c:v>Monitoring visits</c:v>
                </c:pt>
                <c:pt idx="1">
                  <c:v>Baseline</c:v>
                </c:pt>
                <c:pt idx="2">
                  <c:v>Endine</c:v>
                </c:pt>
                <c:pt idx="3">
                  <c:v>Accountability: Feedback and Complaint Mechanism</c:v>
                </c:pt>
                <c:pt idx="4">
                  <c:v>Mid-term Review</c:v>
                </c:pt>
                <c:pt idx="5">
                  <c:v>Reporting</c:v>
                </c:pt>
              </c:strCache>
            </c:strRef>
          </c:cat>
          <c:val>
            <c:numRef>
              <c:f>'MEAL Calendar'!$D$71:$D$76</c:f>
              <c:numCache>
                <c:formatCode>0%</c:formatCode>
                <c:ptCount val="6"/>
                <c:pt idx="0">
                  <c:v>0</c:v>
                </c:pt>
                <c:pt idx="1">
                  <c:v>0</c:v>
                </c:pt>
                <c:pt idx="2">
                  <c:v>0</c:v>
                </c:pt>
                <c:pt idx="3">
                  <c:v>0</c:v>
                </c:pt>
                <c:pt idx="4">
                  <c:v>0</c:v>
                </c:pt>
                <c:pt idx="5">
                  <c:v>0.5</c:v>
                </c:pt>
              </c:numCache>
            </c:numRef>
          </c:val>
          <c:smooth val="0"/>
          <c:extLst>
            <c:ext xmlns:c16="http://schemas.microsoft.com/office/drawing/2014/chart" uri="{C3380CC4-5D6E-409C-BE32-E72D297353CC}">
              <c16:uniqueId val="{00000001-2368-4FD6-9F26-E004F411479E}"/>
            </c:ext>
          </c:extLst>
        </c:ser>
        <c:dLbls>
          <c:showLegendKey val="0"/>
          <c:showVal val="0"/>
          <c:showCatName val="0"/>
          <c:showSerName val="0"/>
          <c:showPercent val="0"/>
          <c:showBubbleSize val="0"/>
        </c:dLbls>
        <c:smooth val="0"/>
        <c:axId val="614722656"/>
        <c:axId val="614713408"/>
      </c:lineChart>
      <c:catAx>
        <c:axId val="61472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614713408"/>
        <c:crosses val="autoZero"/>
        <c:auto val="1"/>
        <c:lblAlgn val="ctr"/>
        <c:lblOffset val="100"/>
        <c:noMultiLvlLbl val="0"/>
      </c:catAx>
      <c:valAx>
        <c:axId val="614713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614722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C$12" lockText="1" noThreeD="1"/>
</file>

<file path=xl/ctrlProps/ctrlProp2.xml><?xml version="1.0" encoding="utf-8"?>
<formControlPr xmlns="http://schemas.microsoft.com/office/spreadsheetml/2009/9/main" objectType="CheckBox" fmlaLink="$H$16" lockText="1" noThreeD="1"/>
</file>

<file path=xl/ctrlProps/ctrlProp3.xml><?xml version="1.0" encoding="utf-8"?>
<formControlPr xmlns="http://schemas.microsoft.com/office/spreadsheetml/2009/9/main" objectType="CheckBox" fmlaLink="$H$14" lockText="1" noThreeD="1"/>
</file>

<file path=xl/ctrlProps/ctrlProp4.xml><?xml version="1.0" encoding="utf-8"?>
<formControlPr xmlns="http://schemas.microsoft.com/office/spreadsheetml/2009/9/main" objectType="CheckBox" fmlaLink="$H$15" lockText="1" noThreeD="1"/>
</file>

<file path=xl/ctrlProps/ctrlProp5.xml><?xml version="1.0" encoding="utf-8"?>
<formControlPr xmlns="http://schemas.microsoft.com/office/spreadsheetml/2009/9/main" objectType="CheckBox" fmlaLink="$G$17" lockText="1" noThreeD="1"/>
</file>

<file path=xl/ctrlProps/ctrlProp6.xml><?xml version="1.0" encoding="utf-8"?>
<formControlPr xmlns="http://schemas.microsoft.com/office/spreadsheetml/2009/9/main" objectType="CheckBox" fmlaLink="$G$18" lockText="1" noThreeD="1"/>
</file>

<file path=xl/ctrlProps/ctrlProp7.xml><?xml version="1.0" encoding="utf-8"?>
<formControlPr xmlns="http://schemas.microsoft.com/office/spreadsheetml/2009/9/main" objectType="CheckBox" fmlaLink="$G$19" lockText="1" noThreeD="1"/>
</file>

<file path=xl/ctrlProps/ctrlProp8.xml><?xml version="1.0" encoding="utf-8"?>
<formControlPr xmlns="http://schemas.microsoft.com/office/spreadsheetml/2009/9/main" objectType="CheckBox" fmlaLink="$G$20" lockText="1" noThreeD="1"/>
</file>

<file path=xl/ctrlProps/ctrlProp9.xml><?xml version="1.0" encoding="utf-8"?>
<formControlPr xmlns="http://schemas.microsoft.com/office/spreadsheetml/2009/9/main" objectType="CheckBox" fmlaLink="$G$21" lockText="1" noThreeD="1"/>
</file>

<file path=xl/ctrlProps/ctrlProp10.xml><?xml version="1.0" encoding="utf-8"?>
<formControlPr xmlns="http://schemas.microsoft.com/office/spreadsheetml/2009/9/main" objectType="CheckBox" fmlaLink="$G$25" lockText="1" noThreeD="1"/>
</file>

<file path=xl/ctrlProps/ctrlProp11.xml><?xml version="1.0" encoding="utf-8"?>
<formControlPr xmlns="http://schemas.microsoft.com/office/spreadsheetml/2009/9/main" objectType="CheckBox" fmlaLink="$G$26" lockText="1" noThreeD="1"/>
</file>

<file path=xl/ctrlProps/ctrlProp12.xml><?xml version="1.0" encoding="utf-8"?>
<formControlPr xmlns="http://schemas.microsoft.com/office/spreadsheetml/2009/9/main" objectType="CheckBox" fmlaLink="$G$27" lockText="1" noThreeD="1"/>
</file>

<file path=xl/ctrlProps/ctrlProp13.xml><?xml version="1.0" encoding="utf-8"?>
<formControlPr xmlns="http://schemas.microsoft.com/office/spreadsheetml/2009/9/main" objectType="CheckBox" fmlaLink="$G$28" lockText="1" noThreeD="1"/>
</file>

<file path=xl/ctrlProps/ctrlProp14.xml><?xml version="1.0" encoding="utf-8"?>
<formControlPr xmlns="http://schemas.microsoft.com/office/spreadsheetml/2009/9/main" objectType="CheckBox" fmlaLink="$G$29" lockText="1" noThreeD="1"/>
</file>

<file path=xl/ctrlProps/ctrlProp15.xml><?xml version="1.0" encoding="utf-8"?>
<formControlPr xmlns="http://schemas.microsoft.com/office/spreadsheetml/2009/9/main" objectType="CheckBox" fmlaLink="$G$22" lockText="1" noThreeD="1"/>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7.xml"/><Relationship Id="rId18" Type="http://schemas.openxmlformats.org/officeDocument/2006/relationships/chart" Target="../charts/chart12.xml"/><Relationship Id="rId3" Type="http://schemas.openxmlformats.org/officeDocument/2006/relationships/image" Target="../media/image1.png"/><Relationship Id="rId21" Type="http://schemas.openxmlformats.org/officeDocument/2006/relationships/chart" Target="../charts/chart15.xml"/><Relationship Id="rId7" Type="http://schemas.openxmlformats.org/officeDocument/2006/relationships/image" Target="../media/image3.png"/><Relationship Id="rId12" Type="http://schemas.openxmlformats.org/officeDocument/2006/relationships/chart" Target="../charts/chart6.xml"/><Relationship Id="rId17" Type="http://schemas.openxmlformats.org/officeDocument/2006/relationships/chart" Target="../charts/chart11.xml"/><Relationship Id="rId2" Type="http://schemas.openxmlformats.org/officeDocument/2006/relationships/chart" Target="../charts/chart2.xml"/><Relationship Id="rId16" Type="http://schemas.openxmlformats.org/officeDocument/2006/relationships/chart" Target="../charts/chart10.xml"/><Relationship Id="rId20" Type="http://schemas.openxmlformats.org/officeDocument/2006/relationships/chart" Target="../charts/chart14.xml"/><Relationship Id="rId1" Type="http://schemas.openxmlformats.org/officeDocument/2006/relationships/chart" Target="../charts/chart1.xml"/><Relationship Id="rId6" Type="http://schemas.openxmlformats.org/officeDocument/2006/relationships/chart" Target="../charts/chart3.xml"/><Relationship Id="rId11" Type="http://schemas.openxmlformats.org/officeDocument/2006/relationships/chart" Target="../charts/chart5.xml"/><Relationship Id="rId5" Type="http://schemas.microsoft.com/office/2007/relationships/hdphoto" Target="../media/hdphoto1.wdp"/><Relationship Id="rId15" Type="http://schemas.openxmlformats.org/officeDocument/2006/relationships/chart" Target="../charts/chart9.xml"/><Relationship Id="rId10" Type="http://schemas.openxmlformats.org/officeDocument/2006/relationships/chart" Target="../charts/chart4.xml"/><Relationship Id="rId19" Type="http://schemas.openxmlformats.org/officeDocument/2006/relationships/chart" Target="../charts/chart13.xml"/><Relationship Id="rId4" Type="http://schemas.openxmlformats.org/officeDocument/2006/relationships/image" Target="../media/image2.png"/><Relationship Id="rId9" Type="http://schemas.openxmlformats.org/officeDocument/2006/relationships/image" Target="../media/image5.png"/><Relationship Id="rId1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image" Target="../media/image6.jpeg"/></Relationships>
</file>

<file path=xl/drawings/_rels/drawing4.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2</xdr:col>
          <xdr:colOff>552450</xdr:colOff>
          <xdr:row>11</xdr:row>
          <xdr:rowOff>47625</xdr:rowOff>
        </xdr:from>
        <xdr:to>
          <xdr:col>3</xdr:col>
          <xdr:colOff>142875</xdr:colOff>
          <xdr:row>11</xdr:row>
          <xdr:rowOff>361950</xdr:rowOff>
        </xdr:to>
        <xdr:sp macro="" textlink="">
          <xdr:nvSpPr>
            <xdr:cNvPr id="10247" name="Check Box 7" descr="Yes&#10;No" hidden="1">
              <a:extLst>
                <a:ext uri="{63B3BB69-23CF-44E3-9099-C40C66FF867C}">
                  <a14:compatExt spid="_x0000_s10247"/>
                </a:ext>
                <a:ext uri="{FF2B5EF4-FFF2-40B4-BE49-F238E27FC236}">
                  <a16:creationId xmlns:a16="http://schemas.microsoft.com/office/drawing/2014/main" id="{00000000-0008-0000-0100-00000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9</xdr:col>
          <xdr:colOff>561975</xdr:colOff>
          <xdr:row>15</xdr:row>
          <xdr:rowOff>0</xdr:rowOff>
        </xdr:from>
        <xdr:to>
          <xdr:col>9</xdr:col>
          <xdr:colOff>752475</xdr:colOff>
          <xdr:row>15</xdr:row>
          <xdr:rowOff>285750</xdr:rowOff>
        </xdr:to>
        <xdr:sp macro="" textlink="">
          <xdr:nvSpPr>
            <xdr:cNvPr id="10249" name="Check Box 9" hidden="1">
              <a:extLst>
                <a:ext uri="{63B3BB69-23CF-44E3-9099-C40C66FF867C}">
                  <a14:compatExt spid="_x0000_s10249"/>
                </a:ext>
                <a:ext uri="{FF2B5EF4-FFF2-40B4-BE49-F238E27FC236}">
                  <a16:creationId xmlns:a16="http://schemas.microsoft.com/office/drawing/2014/main" id="{00000000-0008-0000-0100-00000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9</xdr:col>
          <xdr:colOff>561975</xdr:colOff>
          <xdr:row>13</xdr:row>
          <xdr:rowOff>28575</xdr:rowOff>
        </xdr:from>
        <xdr:to>
          <xdr:col>9</xdr:col>
          <xdr:colOff>742950</xdr:colOff>
          <xdr:row>13</xdr:row>
          <xdr:rowOff>333375</xdr:rowOff>
        </xdr:to>
        <xdr:sp macro="" textlink="">
          <xdr:nvSpPr>
            <xdr:cNvPr id="10250" name="Check Box 10" hidden="1">
              <a:extLst>
                <a:ext uri="{63B3BB69-23CF-44E3-9099-C40C66FF867C}">
                  <a14:compatExt spid="_x0000_s10250"/>
                </a:ext>
                <a:ext uri="{FF2B5EF4-FFF2-40B4-BE49-F238E27FC236}">
                  <a16:creationId xmlns:a16="http://schemas.microsoft.com/office/drawing/2014/main" id="{00000000-0008-0000-0100-00000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9</xdr:col>
          <xdr:colOff>561975</xdr:colOff>
          <xdr:row>14</xdr:row>
          <xdr:rowOff>28575</xdr:rowOff>
        </xdr:from>
        <xdr:to>
          <xdr:col>9</xdr:col>
          <xdr:colOff>742950</xdr:colOff>
          <xdr:row>14</xdr:row>
          <xdr:rowOff>333375</xdr:rowOff>
        </xdr:to>
        <xdr:sp macro="" textlink="">
          <xdr:nvSpPr>
            <xdr:cNvPr id="10251" name="Check Box 11" hidden="1">
              <a:extLst>
                <a:ext uri="{63B3BB69-23CF-44E3-9099-C40C66FF867C}">
                  <a14:compatExt spid="_x0000_s10251"/>
                </a:ext>
                <a:ext uri="{FF2B5EF4-FFF2-40B4-BE49-F238E27FC236}">
                  <a16:creationId xmlns:a16="http://schemas.microsoft.com/office/drawing/2014/main" id="{00000000-0008-0000-0100-00000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9</xdr:col>
          <xdr:colOff>552450</xdr:colOff>
          <xdr:row>16</xdr:row>
          <xdr:rowOff>19050</xdr:rowOff>
        </xdr:from>
        <xdr:to>
          <xdr:col>9</xdr:col>
          <xdr:colOff>742950</xdr:colOff>
          <xdr:row>16</xdr:row>
          <xdr:rowOff>323850</xdr:rowOff>
        </xdr:to>
        <xdr:sp macro="" textlink="">
          <xdr:nvSpPr>
            <xdr:cNvPr id="10253" name="Check Box 13" hidden="1">
              <a:extLst>
                <a:ext uri="{63B3BB69-23CF-44E3-9099-C40C66FF867C}">
                  <a14:compatExt spid="_x0000_s10253"/>
                </a:ext>
                <a:ext uri="{FF2B5EF4-FFF2-40B4-BE49-F238E27FC236}">
                  <a16:creationId xmlns:a16="http://schemas.microsoft.com/office/drawing/2014/main" id="{00000000-0008-0000-0100-00000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6</xdr:col>
          <xdr:colOff>333375</xdr:colOff>
          <xdr:row>17</xdr:row>
          <xdr:rowOff>38100</xdr:rowOff>
        </xdr:from>
        <xdr:to>
          <xdr:col>6</xdr:col>
          <xdr:colOff>523875</xdr:colOff>
          <xdr:row>17</xdr:row>
          <xdr:rowOff>342900</xdr:rowOff>
        </xdr:to>
        <xdr:sp macro="" textlink="">
          <xdr:nvSpPr>
            <xdr:cNvPr id="10254" name="Check Box 14" hidden="1">
              <a:extLst>
                <a:ext uri="{63B3BB69-23CF-44E3-9099-C40C66FF867C}">
                  <a14:compatExt spid="_x0000_s10254"/>
                </a:ext>
                <a:ext uri="{FF2B5EF4-FFF2-40B4-BE49-F238E27FC236}">
                  <a16:creationId xmlns:a16="http://schemas.microsoft.com/office/drawing/2014/main" id="{00000000-0008-0000-0100-00000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6</xdr:col>
          <xdr:colOff>333375</xdr:colOff>
          <xdr:row>17</xdr:row>
          <xdr:rowOff>371475</xdr:rowOff>
        </xdr:from>
        <xdr:to>
          <xdr:col>6</xdr:col>
          <xdr:colOff>523875</xdr:colOff>
          <xdr:row>18</xdr:row>
          <xdr:rowOff>295275</xdr:rowOff>
        </xdr:to>
        <xdr:sp macro="" textlink="">
          <xdr:nvSpPr>
            <xdr:cNvPr id="10255" name="Check Box 15" hidden="1">
              <a:extLst>
                <a:ext uri="{63B3BB69-23CF-44E3-9099-C40C66FF867C}">
                  <a14:compatExt spid="_x0000_s10255"/>
                </a:ext>
                <a:ext uri="{FF2B5EF4-FFF2-40B4-BE49-F238E27FC236}">
                  <a16:creationId xmlns:a16="http://schemas.microsoft.com/office/drawing/2014/main" id="{00000000-0008-0000-0100-00000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6</xdr:col>
          <xdr:colOff>333375</xdr:colOff>
          <xdr:row>19</xdr:row>
          <xdr:rowOff>57150</xdr:rowOff>
        </xdr:from>
        <xdr:to>
          <xdr:col>6</xdr:col>
          <xdr:colOff>523875</xdr:colOff>
          <xdr:row>19</xdr:row>
          <xdr:rowOff>361950</xdr:rowOff>
        </xdr:to>
        <xdr:sp macro="" textlink="">
          <xdr:nvSpPr>
            <xdr:cNvPr id="10256" name="Check Box 16" hidden="1">
              <a:extLst>
                <a:ext uri="{63B3BB69-23CF-44E3-9099-C40C66FF867C}">
                  <a14:compatExt spid="_x0000_s10256"/>
                </a:ext>
                <a:ext uri="{FF2B5EF4-FFF2-40B4-BE49-F238E27FC236}">
                  <a16:creationId xmlns:a16="http://schemas.microsoft.com/office/drawing/2014/main" id="{00000000-0008-0000-0100-00001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6</xdr:col>
          <xdr:colOff>314325</xdr:colOff>
          <xdr:row>20</xdr:row>
          <xdr:rowOff>28575</xdr:rowOff>
        </xdr:from>
        <xdr:to>
          <xdr:col>6</xdr:col>
          <xdr:colOff>504825</xdr:colOff>
          <xdr:row>20</xdr:row>
          <xdr:rowOff>314325</xdr:rowOff>
        </xdr:to>
        <xdr:sp macro="" textlink="">
          <xdr:nvSpPr>
            <xdr:cNvPr id="10257" name="Check Box 17"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6</xdr:col>
          <xdr:colOff>314325</xdr:colOff>
          <xdr:row>24</xdr:row>
          <xdr:rowOff>66675</xdr:rowOff>
        </xdr:from>
        <xdr:to>
          <xdr:col>6</xdr:col>
          <xdr:colOff>504825</xdr:colOff>
          <xdr:row>24</xdr:row>
          <xdr:rowOff>352425</xdr:rowOff>
        </xdr:to>
        <xdr:sp macro="" textlink="">
          <xdr:nvSpPr>
            <xdr:cNvPr id="10259" name="Check Box 19"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6</xdr:col>
          <xdr:colOff>314325</xdr:colOff>
          <xdr:row>25</xdr:row>
          <xdr:rowOff>76200</xdr:rowOff>
        </xdr:from>
        <xdr:to>
          <xdr:col>6</xdr:col>
          <xdr:colOff>504825</xdr:colOff>
          <xdr:row>25</xdr:row>
          <xdr:rowOff>361950</xdr:rowOff>
        </xdr:to>
        <xdr:sp macro="" textlink="">
          <xdr:nvSpPr>
            <xdr:cNvPr id="10260" name="Check Box 20"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6</xdr:col>
          <xdr:colOff>314325</xdr:colOff>
          <xdr:row>26</xdr:row>
          <xdr:rowOff>76200</xdr:rowOff>
        </xdr:from>
        <xdr:to>
          <xdr:col>6</xdr:col>
          <xdr:colOff>504825</xdr:colOff>
          <xdr:row>26</xdr:row>
          <xdr:rowOff>361950</xdr:rowOff>
        </xdr:to>
        <xdr:sp macro="" textlink="">
          <xdr:nvSpPr>
            <xdr:cNvPr id="10261" name="Check Box 21"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6</xdr:col>
          <xdr:colOff>314325</xdr:colOff>
          <xdr:row>27</xdr:row>
          <xdr:rowOff>76200</xdr:rowOff>
        </xdr:from>
        <xdr:to>
          <xdr:col>6</xdr:col>
          <xdr:colOff>504825</xdr:colOff>
          <xdr:row>27</xdr:row>
          <xdr:rowOff>361950</xdr:rowOff>
        </xdr:to>
        <xdr:sp macro="" textlink="">
          <xdr:nvSpPr>
            <xdr:cNvPr id="10262" name="Check Box 22"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6</xdr:col>
          <xdr:colOff>314325</xdr:colOff>
          <xdr:row>28</xdr:row>
          <xdr:rowOff>47625</xdr:rowOff>
        </xdr:from>
        <xdr:to>
          <xdr:col>6</xdr:col>
          <xdr:colOff>504825</xdr:colOff>
          <xdr:row>28</xdr:row>
          <xdr:rowOff>342900</xdr:rowOff>
        </xdr:to>
        <xdr:sp macro="" textlink="">
          <xdr:nvSpPr>
            <xdr:cNvPr id="10264" name="Check Box 24"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6</xdr:col>
          <xdr:colOff>314325</xdr:colOff>
          <xdr:row>21</xdr:row>
          <xdr:rowOff>28575</xdr:rowOff>
        </xdr:from>
        <xdr:to>
          <xdr:col>6</xdr:col>
          <xdr:colOff>504825</xdr:colOff>
          <xdr:row>21</xdr:row>
          <xdr:rowOff>314325</xdr:rowOff>
        </xdr:to>
        <xdr:sp macro="" textlink="">
          <xdr:nvSpPr>
            <xdr:cNvPr id="10267" name="Check Box 27" hidden="1">
              <a:extLst>
                <a:ext uri="{63B3BB69-23CF-44E3-9099-C40C66FF867C}">
                  <a14:compatExt spid="_x0000_s10267"/>
                </a:ext>
                <a:ext uri="{FF2B5EF4-FFF2-40B4-BE49-F238E27FC236}">
                  <a16:creationId xmlns:a16="http://schemas.microsoft.com/office/drawing/2014/main" id="{00000000-0008-0000-0100-00001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10</xdr:col>
      <xdr:colOff>119061</xdr:colOff>
      <xdr:row>6</xdr:row>
      <xdr:rowOff>107156</xdr:rowOff>
    </xdr:from>
    <xdr:to>
      <xdr:col>14</xdr:col>
      <xdr:colOff>904873</xdr:colOff>
      <xdr:row>14</xdr:row>
      <xdr:rowOff>238125</xdr:rowOff>
    </xdr:to>
    <xdr:graphicFrame macro="">
      <xdr:nvGraphicFramePr>
        <xdr:cNvPr id="284" name="Chart 283">
          <a:extLst>
            <a:ext uri="{FF2B5EF4-FFF2-40B4-BE49-F238E27FC236}">
              <a16:creationId xmlns:a16="http://schemas.microsoft.com/office/drawing/2014/main" id="{00000000-0008-0000-0300-00001C01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379421</xdr:colOff>
      <xdr:row>7</xdr:row>
      <xdr:rowOff>50800</xdr:rowOff>
    </xdr:from>
    <xdr:to>
      <xdr:col>11</xdr:col>
      <xdr:colOff>416720</xdr:colOff>
      <xdr:row>15</xdr:row>
      <xdr:rowOff>59532</xdr:rowOff>
    </xdr:to>
    <xdr:graphicFrame macro="">
      <xdr:nvGraphicFramePr>
        <xdr:cNvPr id="14" name="Chart 13">
          <a:extLst>
            <a:ext uri="{FF2B5EF4-FFF2-40B4-BE49-F238E27FC236}">
              <a16:creationId xmlns:a16="http://schemas.microsoft.com/office/drawing/2014/main" id="{00000000-0008-0000-03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472280</xdr:colOff>
      <xdr:row>17</xdr:row>
      <xdr:rowOff>535781</xdr:rowOff>
    </xdr:from>
    <xdr:to>
      <xdr:col>2</xdr:col>
      <xdr:colOff>108279</xdr:colOff>
      <xdr:row>20</xdr:row>
      <xdr:rowOff>6349</xdr:rowOff>
    </xdr:to>
    <xdr:sp macro="" textlink="">
      <xdr:nvSpPr>
        <xdr:cNvPr id="102" name="Freeform 101">
          <a:extLst>
            <a:ext uri="{FF2B5EF4-FFF2-40B4-BE49-F238E27FC236}">
              <a16:creationId xmlns:a16="http://schemas.microsoft.com/office/drawing/2014/main" id="{00000000-0008-0000-0300-000066000000}"/>
            </a:ext>
          </a:extLst>
        </xdr:cNvPr>
        <xdr:cNvSpPr>
          <a:spLocks noChangeAspect="1" noEditPoints="1"/>
        </xdr:cNvSpPr>
      </xdr:nvSpPr>
      <xdr:spPr bwMode="auto">
        <a:xfrm>
          <a:off x="1079499" y="4691062"/>
          <a:ext cx="243218" cy="685006"/>
        </a:xfrm>
        <a:custGeom>
          <a:avLst/>
          <a:gdLst>
            <a:gd name="T0" fmla="*/ 17 w 23"/>
            <a:gd name="T1" fmla="*/ 5 h 60"/>
            <a:gd name="T2" fmla="*/ 12 w 23"/>
            <a:gd name="T3" fmla="*/ 10 h 60"/>
            <a:gd name="T4" fmla="*/ 7 w 23"/>
            <a:gd name="T5" fmla="*/ 5 h 60"/>
            <a:gd name="T6" fmla="*/ 12 w 23"/>
            <a:gd name="T7" fmla="*/ 0 h 60"/>
            <a:gd name="T8" fmla="*/ 17 w 23"/>
            <a:gd name="T9" fmla="*/ 5 h 60"/>
            <a:gd name="T10" fmla="*/ 23 w 23"/>
            <a:gd name="T11" fmla="*/ 31 h 60"/>
            <a:gd name="T12" fmla="*/ 19 w 23"/>
            <a:gd name="T13" fmla="*/ 16 h 60"/>
            <a:gd name="T14" fmla="*/ 19 w 23"/>
            <a:gd name="T15" fmla="*/ 16 h 60"/>
            <a:gd name="T16" fmla="*/ 19 w 23"/>
            <a:gd name="T17" fmla="*/ 16 h 60"/>
            <a:gd name="T18" fmla="*/ 12 w 23"/>
            <a:gd name="T19" fmla="*/ 12 h 60"/>
            <a:gd name="T20" fmla="*/ 12 w 23"/>
            <a:gd name="T21" fmla="*/ 12 h 60"/>
            <a:gd name="T22" fmla="*/ 11 w 23"/>
            <a:gd name="T23" fmla="*/ 12 h 60"/>
            <a:gd name="T24" fmla="*/ 4 w 23"/>
            <a:gd name="T25" fmla="*/ 16 h 60"/>
            <a:gd name="T26" fmla="*/ 4 w 23"/>
            <a:gd name="T27" fmla="*/ 16 h 60"/>
            <a:gd name="T28" fmla="*/ 4 w 23"/>
            <a:gd name="T29" fmla="*/ 16 h 60"/>
            <a:gd name="T30" fmla="*/ 0 w 23"/>
            <a:gd name="T31" fmla="*/ 31 h 60"/>
            <a:gd name="T32" fmla="*/ 1 w 23"/>
            <a:gd name="T33" fmla="*/ 33 h 60"/>
            <a:gd name="T34" fmla="*/ 1 w 23"/>
            <a:gd name="T35" fmla="*/ 33 h 60"/>
            <a:gd name="T36" fmla="*/ 3 w 23"/>
            <a:gd name="T37" fmla="*/ 32 h 60"/>
            <a:gd name="T38" fmla="*/ 7 w 23"/>
            <a:gd name="T39" fmla="*/ 19 h 60"/>
            <a:gd name="T40" fmla="*/ 3 w 23"/>
            <a:gd name="T41" fmla="*/ 40 h 60"/>
            <a:gd name="T42" fmla="*/ 6 w 23"/>
            <a:gd name="T43" fmla="*/ 40 h 60"/>
            <a:gd name="T44" fmla="*/ 7 w 23"/>
            <a:gd name="T45" fmla="*/ 59 h 60"/>
            <a:gd name="T46" fmla="*/ 9 w 23"/>
            <a:gd name="T47" fmla="*/ 60 h 60"/>
            <a:gd name="T48" fmla="*/ 10 w 23"/>
            <a:gd name="T49" fmla="*/ 59 h 60"/>
            <a:gd name="T50" fmla="*/ 11 w 23"/>
            <a:gd name="T51" fmla="*/ 40 h 60"/>
            <a:gd name="T52" fmla="*/ 12 w 23"/>
            <a:gd name="T53" fmla="*/ 40 h 60"/>
            <a:gd name="T54" fmla="*/ 12 w 23"/>
            <a:gd name="T55" fmla="*/ 40 h 60"/>
            <a:gd name="T56" fmla="*/ 13 w 23"/>
            <a:gd name="T57" fmla="*/ 59 h 60"/>
            <a:gd name="T58" fmla="*/ 14 w 23"/>
            <a:gd name="T59" fmla="*/ 60 h 60"/>
            <a:gd name="T60" fmla="*/ 16 w 23"/>
            <a:gd name="T61" fmla="*/ 59 h 60"/>
            <a:gd name="T62" fmla="*/ 17 w 23"/>
            <a:gd name="T63" fmla="*/ 40 h 60"/>
            <a:gd name="T64" fmla="*/ 20 w 23"/>
            <a:gd name="T65" fmla="*/ 40 h 60"/>
            <a:gd name="T66" fmla="*/ 16 w 23"/>
            <a:gd name="T67" fmla="*/ 19 h 60"/>
            <a:gd name="T68" fmla="*/ 20 w 23"/>
            <a:gd name="T69" fmla="*/ 32 h 60"/>
            <a:gd name="T70" fmla="*/ 22 w 23"/>
            <a:gd name="T71" fmla="*/ 33 h 60"/>
            <a:gd name="T72" fmla="*/ 22 w 23"/>
            <a:gd name="T73" fmla="*/ 33 h 60"/>
            <a:gd name="T74" fmla="*/ 23 w 23"/>
            <a:gd name="T75" fmla="*/ 31 h 6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23" h="60">
              <a:moveTo>
                <a:pt x="17" y="5"/>
              </a:moveTo>
              <a:cubicBezTo>
                <a:pt x="17" y="8"/>
                <a:pt x="14" y="10"/>
                <a:pt x="12" y="10"/>
              </a:cubicBezTo>
              <a:cubicBezTo>
                <a:pt x="9" y="10"/>
                <a:pt x="7" y="8"/>
                <a:pt x="7" y="5"/>
              </a:cubicBezTo>
              <a:cubicBezTo>
                <a:pt x="7" y="3"/>
                <a:pt x="9" y="0"/>
                <a:pt x="12" y="0"/>
              </a:cubicBezTo>
              <a:cubicBezTo>
                <a:pt x="14" y="0"/>
                <a:pt x="17" y="3"/>
                <a:pt x="17" y="5"/>
              </a:cubicBezTo>
              <a:close/>
              <a:moveTo>
                <a:pt x="23" y="31"/>
              </a:moveTo>
              <a:cubicBezTo>
                <a:pt x="23" y="31"/>
                <a:pt x="21" y="18"/>
                <a:pt x="19" y="16"/>
              </a:cubicBezTo>
              <a:cubicBezTo>
                <a:pt x="19" y="16"/>
                <a:pt x="19" y="16"/>
                <a:pt x="19" y="16"/>
              </a:cubicBezTo>
              <a:cubicBezTo>
                <a:pt x="19" y="16"/>
                <a:pt x="19" y="16"/>
                <a:pt x="19" y="16"/>
              </a:cubicBezTo>
              <a:cubicBezTo>
                <a:pt x="18" y="13"/>
                <a:pt x="17" y="12"/>
                <a:pt x="12" y="12"/>
              </a:cubicBezTo>
              <a:cubicBezTo>
                <a:pt x="12" y="12"/>
                <a:pt x="12" y="12"/>
                <a:pt x="12" y="12"/>
              </a:cubicBezTo>
              <a:cubicBezTo>
                <a:pt x="11" y="12"/>
                <a:pt x="11" y="12"/>
                <a:pt x="11" y="12"/>
              </a:cubicBezTo>
              <a:cubicBezTo>
                <a:pt x="6" y="12"/>
                <a:pt x="5" y="13"/>
                <a:pt x="4" y="16"/>
              </a:cubicBezTo>
              <a:cubicBezTo>
                <a:pt x="4" y="16"/>
                <a:pt x="4" y="16"/>
                <a:pt x="4" y="16"/>
              </a:cubicBezTo>
              <a:cubicBezTo>
                <a:pt x="4" y="16"/>
                <a:pt x="4" y="16"/>
                <a:pt x="4" y="16"/>
              </a:cubicBezTo>
              <a:cubicBezTo>
                <a:pt x="3" y="18"/>
                <a:pt x="0" y="31"/>
                <a:pt x="0" y="31"/>
              </a:cubicBezTo>
              <a:cubicBezTo>
                <a:pt x="0" y="32"/>
                <a:pt x="0" y="33"/>
                <a:pt x="1" y="33"/>
              </a:cubicBezTo>
              <a:cubicBezTo>
                <a:pt x="1" y="33"/>
                <a:pt x="1" y="33"/>
                <a:pt x="1" y="33"/>
              </a:cubicBezTo>
              <a:cubicBezTo>
                <a:pt x="2" y="33"/>
                <a:pt x="3" y="33"/>
                <a:pt x="3" y="32"/>
              </a:cubicBezTo>
              <a:cubicBezTo>
                <a:pt x="7" y="19"/>
                <a:pt x="7" y="19"/>
                <a:pt x="7" y="19"/>
              </a:cubicBezTo>
              <a:cubicBezTo>
                <a:pt x="3" y="40"/>
                <a:pt x="3" y="40"/>
                <a:pt x="3" y="40"/>
              </a:cubicBezTo>
              <a:cubicBezTo>
                <a:pt x="6" y="40"/>
                <a:pt x="6" y="40"/>
                <a:pt x="6" y="40"/>
              </a:cubicBezTo>
              <a:cubicBezTo>
                <a:pt x="7" y="59"/>
                <a:pt x="7" y="59"/>
                <a:pt x="7" y="59"/>
              </a:cubicBezTo>
              <a:cubicBezTo>
                <a:pt x="7" y="60"/>
                <a:pt x="8" y="60"/>
                <a:pt x="9" y="60"/>
              </a:cubicBezTo>
              <a:cubicBezTo>
                <a:pt x="9" y="60"/>
                <a:pt x="10" y="60"/>
                <a:pt x="10" y="59"/>
              </a:cubicBezTo>
              <a:cubicBezTo>
                <a:pt x="11" y="40"/>
                <a:pt x="11" y="40"/>
                <a:pt x="11" y="40"/>
              </a:cubicBezTo>
              <a:cubicBezTo>
                <a:pt x="12" y="40"/>
                <a:pt x="12" y="40"/>
                <a:pt x="12" y="40"/>
              </a:cubicBezTo>
              <a:cubicBezTo>
                <a:pt x="12" y="40"/>
                <a:pt x="12" y="40"/>
                <a:pt x="12" y="40"/>
              </a:cubicBezTo>
              <a:cubicBezTo>
                <a:pt x="13" y="59"/>
                <a:pt x="13" y="59"/>
                <a:pt x="13" y="59"/>
              </a:cubicBezTo>
              <a:cubicBezTo>
                <a:pt x="13" y="60"/>
                <a:pt x="14" y="60"/>
                <a:pt x="14" y="60"/>
              </a:cubicBezTo>
              <a:cubicBezTo>
                <a:pt x="15" y="60"/>
                <a:pt x="16" y="60"/>
                <a:pt x="16" y="59"/>
              </a:cubicBezTo>
              <a:cubicBezTo>
                <a:pt x="17" y="40"/>
                <a:pt x="17" y="40"/>
                <a:pt x="17" y="40"/>
              </a:cubicBezTo>
              <a:cubicBezTo>
                <a:pt x="20" y="40"/>
                <a:pt x="20" y="40"/>
                <a:pt x="20" y="40"/>
              </a:cubicBezTo>
              <a:cubicBezTo>
                <a:pt x="16" y="19"/>
                <a:pt x="16" y="19"/>
                <a:pt x="16" y="19"/>
              </a:cubicBezTo>
              <a:cubicBezTo>
                <a:pt x="20" y="32"/>
                <a:pt x="20" y="32"/>
                <a:pt x="20" y="32"/>
              </a:cubicBezTo>
              <a:cubicBezTo>
                <a:pt x="20" y="33"/>
                <a:pt x="21" y="33"/>
                <a:pt x="22" y="33"/>
              </a:cubicBezTo>
              <a:cubicBezTo>
                <a:pt x="22" y="33"/>
                <a:pt x="22" y="33"/>
                <a:pt x="22" y="33"/>
              </a:cubicBezTo>
              <a:cubicBezTo>
                <a:pt x="23" y="33"/>
                <a:pt x="23" y="32"/>
                <a:pt x="23" y="31"/>
              </a:cubicBezTo>
              <a:close/>
            </a:path>
          </a:pathLst>
        </a:custGeom>
        <a:solidFill>
          <a:schemeClr val="accent2"/>
        </a:solidFill>
        <a:ln>
          <a:noFill/>
        </a:ln>
      </xdr:spPr>
      <xdr:txBody>
        <a:bodyPr vert="horz" wrap="square" lIns="91555" tIns="45778" rIns="91555" bIns="45778"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962"/>
        </a:p>
      </xdr:txBody>
    </xdr:sp>
    <xdr:clientData/>
  </xdr:twoCellAnchor>
  <xdr:twoCellAnchor>
    <xdr:from>
      <xdr:col>1</xdr:col>
      <xdr:colOff>492119</xdr:colOff>
      <xdr:row>20</xdr:row>
      <xdr:rowOff>284749</xdr:rowOff>
    </xdr:from>
    <xdr:to>
      <xdr:col>2</xdr:col>
      <xdr:colOff>119062</xdr:colOff>
      <xdr:row>22</xdr:row>
      <xdr:rowOff>206372</xdr:rowOff>
    </xdr:to>
    <xdr:sp macro="" textlink="">
      <xdr:nvSpPr>
        <xdr:cNvPr id="103" name="Freeform 102">
          <a:extLst>
            <a:ext uri="{FF2B5EF4-FFF2-40B4-BE49-F238E27FC236}">
              <a16:creationId xmlns:a16="http://schemas.microsoft.com/office/drawing/2014/main" id="{00000000-0008-0000-0300-000067000000}"/>
            </a:ext>
          </a:extLst>
        </xdr:cNvPr>
        <xdr:cNvSpPr>
          <a:spLocks noChangeAspect="1" noEditPoints="1"/>
        </xdr:cNvSpPr>
      </xdr:nvSpPr>
      <xdr:spPr bwMode="auto">
        <a:xfrm>
          <a:off x="1099338" y="5785437"/>
          <a:ext cx="234162" cy="707435"/>
        </a:xfrm>
        <a:custGeom>
          <a:avLst/>
          <a:gdLst>
            <a:gd name="T0" fmla="*/ 11 w 21"/>
            <a:gd name="T1" fmla="*/ 0 h 60"/>
            <a:gd name="T2" fmla="*/ 5 w 21"/>
            <a:gd name="T3" fmla="*/ 6 h 60"/>
            <a:gd name="T4" fmla="*/ 11 w 21"/>
            <a:gd name="T5" fmla="*/ 11 h 60"/>
            <a:gd name="T6" fmla="*/ 16 w 21"/>
            <a:gd name="T7" fmla="*/ 6 h 60"/>
            <a:gd name="T8" fmla="*/ 11 w 21"/>
            <a:gd name="T9" fmla="*/ 0 h 60"/>
            <a:gd name="T10" fmla="*/ 19 w 21"/>
            <a:gd name="T11" fmla="*/ 16 h 60"/>
            <a:gd name="T12" fmla="*/ 11 w 21"/>
            <a:gd name="T13" fmla="*/ 12 h 60"/>
            <a:gd name="T14" fmla="*/ 11 w 21"/>
            <a:gd name="T15" fmla="*/ 12 h 60"/>
            <a:gd name="T16" fmla="*/ 10 w 21"/>
            <a:gd name="T17" fmla="*/ 12 h 60"/>
            <a:gd name="T18" fmla="*/ 2 w 21"/>
            <a:gd name="T19" fmla="*/ 16 h 60"/>
            <a:gd name="T20" fmla="*/ 0 w 21"/>
            <a:gd name="T21" fmla="*/ 33 h 60"/>
            <a:gd name="T22" fmla="*/ 2 w 21"/>
            <a:gd name="T23" fmla="*/ 35 h 60"/>
            <a:gd name="T24" fmla="*/ 2 w 21"/>
            <a:gd name="T25" fmla="*/ 35 h 60"/>
            <a:gd name="T26" fmla="*/ 4 w 21"/>
            <a:gd name="T27" fmla="*/ 34 h 60"/>
            <a:gd name="T28" fmla="*/ 5 w 21"/>
            <a:gd name="T29" fmla="*/ 20 h 60"/>
            <a:gd name="T30" fmla="*/ 5 w 21"/>
            <a:gd name="T31" fmla="*/ 30 h 60"/>
            <a:gd name="T32" fmla="*/ 4 w 21"/>
            <a:gd name="T33" fmla="*/ 58 h 60"/>
            <a:gd name="T34" fmla="*/ 6 w 21"/>
            <a:gd name="T35" fmla="*/ 60 h 60"/>
            <a:gd name="T36" fmla="*/ 6 w 21"/>
            <a:gd name="T37" fmla="*/ 60 h 60"/>
            <a:gd name="T38" fmla="*/ 8 w 21"/>
            <a:gd name="T39" fmla="*/ 59 h 60"/>
            <a:gd name="T40" fmla="*/ 11 w 21"/>
            <a:gd name="T41" fmla="*/ 36 h 60"/>
            <a:gd name="T42" fmla="*/ 13 w 21"/>
            <a:gd name="T43" fmla="*/ 59 h 60"/>
            <a:gd name="T44" fmla="*/ 15 w 21"/>
            <a:gd name="T45" fmla="*/ 60 h 60"/>
            <a:gd name="T46" fmla="*/ 15 w 21"/>
            <a:gd name="T47" fmla="*/ 60 h 60"/>
            <a:gd name="T48" fmla="*/ 17 w 21"/>
            <a:gd name="T49" fmla="*/ 58 h 60"/>
            <a:gd name="T50" fmla="*/ 16 w 21"/>
            <a:gd name="T51" fmla="*/ 30 h 60"/>
            <a:gd name="T52" fmla="*/ 16 w 21"/>
            <a:gd name="T53" fmla="*/ 20 h 60"/>
            <a:gd name="T54" fmla="*/ 17 w 21"/>
            <a:gd name="T55" fmla="*/ 34 h 60"/>
            <a:gd name="T56" fmla="*/ 19 w 21"/>
            <a:gd name="T57" fmla="*/ 35 h 60"/>
            <a:gd name="T58" fmla="*/ 19 w 21"/>
            <a:gd name="T59" fmla="*/ 35 h 60"/>
            <a:gd name="T60" fmla="*/ 21 w 21"/>
            <a:gd name="T61" fmla="*/ 33 h 60"/>
            <a:gd name="T62" fmla="*/ 19 w 21"/>
            <a:gd name="T63" fmla="*/ 16 h 6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21" h="60">
              <a:moveTo>
                <a:pt x="11" y="0"/>
              </a:moveTo>
              <a:cubicBezTo>
                <a:pt x="8" y="0"/>
                <a:pt x="5" y="3"/>
                <a:pt x="5" y="6"/>
              </a:cubicBezTo>
              <a:cubicBezTo>
                <a:pt x="5" y="8"/>
                <a:pt x="8" y="11"/>
                <a:pt x="11" y="11"/>
              </a:cubicBezTo>
              <a:cubicBezTo>
                <a:pt x="13" y="11"/>
                <a:pt x="16" y="8"/>
                <a:pt x="16" y="6"/>
              </a:cubicBezTo>
              <a:cubicBezTo>
                <a:pt x="16" y="3"/>
                <a:pt x="13" y="0"/>
                <a:pt x="11" y="0"/>
              </a:cubicBezTo>
              <a:close/>
              <a:moveTo>
                <a:pt x="19" y="16"/>
              </a:moveTo>
              <a:cubicBezTo>
                <a:pt x="18" y="13"/>
                <a:pt x="16" y="12"/>
                <a:pt x="11" y="12"/>
              </a:cubicBezTo>
              <a:cubicBezTo>
                <a:pt x="11" y="12"/>
                <a:pt x="11" y="12"/>
                <a:pt x="11" y="12"/>
              </a:cubicBezTo>
              <a:cubicBezTo>
                <a:pt x="10" y="12"/>
                <a:pt x="10" y="12"/>
                <a:pt x="10" y="12"/>
              </a:cubicBezTo>
              <a:cubicBezTo>
                <a:pt x="5" y="12"/>
                <a:pt x="3" y="13"/>
                <a:pt x="2" y="16"/>
              </a:cubicBezTo>
              <a:cubicBezTo>
                <a:pt x="1" y="17"/>
                <a:pt x="0" y="33"/>
                <a:pt x="0" y="33"/>
              </a:cubicBezTo>
              <a:cubicBezTo>
                <a:pt x="0" y="34"/>
                <a:pt x="1" y="35"/>
                <a:pt x="2" y="35"/>
              </a:cubicBezTo>
              <a:cubicBezTo>
                <a:pt x="2" y="35"/>
                <a:pt x="2" y="35"/>
                <a:pt x="2" y="35"/>
              </a:cubicBezTo>
              <a:cubicBezTo>
                <a:pt x="3" y="35"/>
                <a:pt x="3" y="34"/>
                <a:pt x="4" y="34"/>
              </a:cubicBezTo>
              <a:cubicBezTo>
                <a:pt x="5" y="20"/>
                <a:pt x="5" y="20"/>
                <a:pt x="5" y="20"/>
              </a:cubicBezTo>
              <a:cubicBezTo>
                <a:pt x="5" y="30"/>
                <a:pt x="5" y="30"/>
                <a:pt x="5" y="30"/>
              </a:cubicBezTo>
              <a:cubicBezTo>
                <a:pt x="4" y="58"/>
                <a:pt x="4" y="58"/>
                <a:pt x="4" y="58"/>
              </a:cubicBezTo>
              <a:cubicBezTo>
                <a:pt x="4" y="59"/>
                <a:pt x="5" y="60"/>
                <a:pt x="6" y="60"/>
              </a:cubicBezTo>
              <a:cubicBezTo>
                <a:pt x="6" y="60"/>
                <a:pt x="6" y="60"/>
                <a:pt x="6" y="60"/>
              </a:cubicBezTo>
              <a:cubicBezTo>
                <a:pt x="7" y="60"/>
                <a:pt x="8" y="60"/>
                <a:pt x="8" y="59"/>
              </a:cubicBezTo>
              <a:cubicBezTo>
                <a:pt x="11" y="36"/>
                <a:pt x="11" y="36"/>
                <a:pt x="11" y="36"/>
              </a:cubicBezTo>
              <a:cubicBezTo>
                <a:pt x="13" y="59"/>
                <a:pt x="13" y="59"/>
                <a:pt x="13" y="59"/>
              </a:cubicBezTo>
              <a:cubicBezTo>
                <a:pt x="13" y="60"/>
                <a:pt x="14" y="60"/>
                <a:pt x="15" y="60"/>
              </a:cubicBezTo>
              <a:cubicBezTo>
                <a:pt x="15" y="60"/>
                <a:pt x="15" y="60"/>
                <a:pt x="15" y="60"/>
              </a:cubicBezTo>
              <a:cubicBezTo>
                <a:pt x="16" y="60"/>
                <a:pt x="17" y="59"/>
                <a:pt x="17" y="58"/>
              </a:cubicBezTo>
              <a:cubicBezTo>
                <a:pt x="16" y="30"/>
                <a:pt x="16" y="30"/>
                <a:pt x="16" y="30"/>
              </a:cubicBezTo>
              <a:cubicBezTo>
                <a:pt x="16" y="20"/>
                <a:pt x="16" y="20"/>
                <a:pt x="16" y="20"/>
              </a:cubicBezTo>
              <a:cubicBezTo>
                <a:pt x="17" y="34"/>
                <a:pt x="17" y="34"/>
                <a:pt x="17" y="34"/>
              </a:cubicBezTo>
              <a:cubicBezTo>
                <a:pt x="18" y="34"/>
                <a:pt x="18" y="35"/>
                <a:pt x="19" y="35"/>
              </a:cubicBezTo>
              <a:cubicBezTo>
                <a:pt x="19" y="35"/>
                <a:pt x="19" y="35"/>
                <a:pt x="19" y="35"/>
              </a:cubicBezTo>
              <a:cubicBezTo>
                <a:pt x="20" y="35"/>
                <a:pt x="21" y="34"/>
                <a:pt x="21" y="33"/>
              </a:cubicBezTo>
              <a:cubicBezTo>
                <a:pt x="21" y="33"/>
                <a:pt x="20" y="17"/>
                <a:pt x="19" y="16"/>
              </a:cubicBezTo>
              <a:close/>
            </a:path>
          </a:pathLst>
        </a:custGeom>
        <a:solidFill>
          <a:schemeClr val="accent1"/>
        </a:solidFill>
        <a:ln>
          <a:noFill/>
        </a:ln>
      </xdr:spPr>
      <xdr:txBody>
        <a:bodyPr vert="horz" wrap="square" lIns="91555" tIns="45778" rIns="91555" bIns="45778"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962"/>
        </a:p>
      </xdr:txBody>
    </xdr:sp>
    <xdr:clientData/>
  </xdr:twoCellAnchor>
  <xdr:twoCellAnchor editAs="oneCell">
    <xdr:from>
      <xdr:col>1</xdr:col>
      <xdr:colOff>303213</xdr:colOff>
      <xdr:row>23</xdr:row>
      <xdr:rowOff>66018</xdr:rowOff>
    </xdr:from>
    <xdr:to>
      <xdr:col>2</xdr:col>
      <xdr:colOff>380999</xdr:colOff>
      <xdr:row>25</xdr:row>
      <xdr:rowOff>166687</xdr:rowOff>
    </xdr:to>
    <xdr:pic>
      <xdr:nvPicPr>
        <xdr:cNvPr id="106" name="Picture 105" descr="Wayfinding Pwd Icons - Download Free Vector Icons | Noun Project">
          <a:extLst>
            <a:ext uri="{FF2B5EF4-FFF2-40B4-BE49-F238E27FC236}">
              <a16:creationId xmlns:a16="http://schemas.microsoft.com/office/drawing/2014/main" id="{00000000-0008-0000-0300-00006A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10432" y="6614456"/>
          <a:ext cx="685005" cy="6245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547691</xdr:colOff>
      <xdr:row>17</xdr:row>
      <xdr:rowOff>161670</xdr:rowOff>
    </xdr:from>
    <xdr:to>
      <xdr:col>7</xdr:col>
      <xdr:colOff>488157</xdr:colOff>
      <xdr:row>19</xdr:row>
      <xdr:rowOff>80964</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5464972" y="4316951"/>
          <a:ext cx="666748" cy="419357"/>
        </a:xfrm>
        <a:prstGeom prst="rect">
          <a:avLst/>
        </a:prstGeom>
      </xdr:spPr>
    </xdr:pic>
    <xdr:clientData/>
  </xdr:twoCellAnchor>
  <xdr:twoCellAnchor>
    <xdr:from>
      <xdr:col>0</xdr:col>
      <xdr:colOff>0</xdr:colOff>
      <xdr:row>6</xdr:row>
      <xdr:rowOff>71439</xdr:rowOff>
    </xdr:from>
    <xdr:to>
      <xdr:col>4</xdr:col>
      <xdr:colOff>178593</xdr:colOff>
      <xdr:row>14</xdr:row>
      <xdr:rowOff>202408</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631031</xdr:colOff>
      <xdr:row>19</xdr:row>
      <xdr:rowOff>119062</xdr:rowOff>
    </xdr:from>
    <xdr:to>
      <xdr:col>7</xdr:col>
      <xdr:colOff>404812</xdr:colOff>
      <xdr:row>21</xdr:row>
      <xdr:rowOff>73341</xdr:rowOff>
    </xdr:to>
    <xdr:pic>
      <xdr:nvPicPr>
        <xdr:cNvPr id="287" name="Picture 286" descr="Our Shared Goals | Children and Youth Planning Table">
          <a:extLst>
            <a:ext uri="{FF2B5EF4-FFF2-40B4-BE49-F238E27FC236}">
              <a16:creationId xmlns:a16="http://schemas.microsoft.com/office/drawing/2014/main" id="{00000000-0008-0000-0300-00001F010000}"/>
            </a:ext>
          </a:extLst>
        </xdr:cNvPr>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33071" t="62048" r="49254" b="11860"/>
        <a:stretch/>
      </xdr:blipFill>
      <xdr:spPr bwMode="auto">
        <a:xfrm>
          <a:off x="5548312" y="4774406"/>
          <a:ext cx="500063" cy="478154"/>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6</xdr:col>
      <xdr:colOff>631031</xdr:colOff>
      <xdr:row>21</xdr:row>
      <xdr:rowOff>107358</xdr:rowOff>
    </xdr:from>
    <xdr:to>
      <xdr:col>7</xdr:col>
      <xdr:colOff>404813</xdr:colOff>
      <xdr:row>23</xdr:row>
      <xdr:rowOff>130967</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20254" t="13412" r="12616" b="18455"/>
        <a:stretch/>
      </xdr:blipFill>
      <xdr:spPr>
        <a:xfrm>
          <a:off x="5548312" y="5286577"/>
          <a:ext cx="500064" cy="547484"/>
        </a:xfrm>
        <a:prstGeom prst="rect">
          <a:avLst/>
        </a:prstGeom>
      </xdr:spPr>
    </xdr:pic>
    <xdr:clientData/>
  </xdr:twoCellAnchor>
  <xdr:twoCellAnchor editAs="oneCell">
    <xdr:from>
      <xdr:col>6</xdr:col>
      <xdr:colOff>559595</xdr:colOff>
      <xdr:row>23</xdr:row>
      <xdr:rowOff>83342</xdr:rowOff>
    </xdr:from>
    <xdr:to>
      <xdr:col>7</xdr:col>
      <xdr:colOff>464344</xdr:colOff>
      <xdr:row>25</xdr:row>
      <xdr:rowOff>190498</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476876" y="5786436"/>
          <a:ext cx="631031" cy="631031"/>
        </a:xfrm>
        <a:prstGeom prst="rect">
          <a:avLst/>
        </a:prstGeom>
      </xdr:spPr>
    </xdr:pic>
    <xdr:clientData/>
  </xdr:twoCellAnchor>
  <xdr:twoCellAnchor>
    <xdr:from>
      <xdr:col>1</xdr:col>
      <xdr:colOff>204560</xdr:colOff>
      <xdr:row>29</xdr:row>
      <xdr:rowOff>96610</xdr:rowOff>
    </xdr:from>
    <xdr:to>
      <xdr:col>7</xdr:col>
      <xdr:colOff>631030</xdr:colOff>
      <xdr:row>46</xdr:row>
      <xdr:rowOff>39687</xdr:rowOff>
    </xdr:to>
    <xdr:grpSp>
      <xdr:nvGrpSpPr>
        <xdr:cNvPr id="285" name="Group 284">
          <a:extLst>
            <a:ext uri="{FF2B5EF4-FFF2-40B4-BE49-F238E27FC236}">
              <a16:creationId xmlns:a16="http://schemas.microsoft.com/office/drawing/2014/main" id="{00000000-0008-0000-0300-00001D010000}"/>
            </a:ext>
          </a:extLst>
        </xdr:cNvPr>
        <xdr:cNvGrpSpPr/>
      </xdr:nvGrpSpPr>
      <xdr:grpSpPr>
        <a:xfrm>
          <a:off x="811779" y="7121298"/>
          <a:ext cx="5462814" cy="2979170"/>
          <a:chOff x="783684" y="6401254"/>
          <a:chExt cx="5368867" cy="3025452"/>
        </a:xfrm>
        <a:noFill/>
      </xdr:grpSpPr>
      <xdr:graphicFrame macro="">
        <xdr:nvGraphicFramePr>
          <xdr:cNvPr id="286" name="Chart 7">
            <a:extLst>
              <a:ext uri="{FF2B5EF4-FFF2-40B4-BE49-F238E27FC236}">
                <a16:creationId xmlns:a16="http://schemas.microsoft.com/office/drawing/2014/main" id="{00000000-0008-0000-0300-00001E010000}"/>
              </a:ext>
            </a:extLst>
          </xdr:cNvPr>
          <xdr:cNvGraphicFramePr/>
        </xdr:nvGraphicFramePr>
        <xdr:xfrm>
          <a:off x="783684" y="7839206"/>
          <a:ext cx="1709509" cy="15875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288" name="Chart 3">
            <a:extLst>
              <a:ext uri="{FF2B5EF4-FFF2-40B4-BE49-F238E27FC236}">
                <a16:creationId xmlns:a16="http://schemas.microsoft.com/office/drawing/2014/main" id="{00000000-0008-0000-0300-000020010000}"/>
              </a:ext>
            </a:extLst>
          </xdr:cNvPr>
          <xdr:cNvGraphicFramePr/>
        </xdr:nvGraphicFramePr>
        <xdr:xfrm>
          <a:off x="2585811" y="6537325"/>
          <a:ext cx="3566740" cy="2716073"/>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289" name="Chart 7">
            <a:extLst>
              <a:ext uri="{FF2B5EF4-FFF2-40B4-BE49-F238E27FC236}">
                <a16:creationId xmlns:a16="http://schemas.microsoft.com/office/drawing/2014/main" id="{00000000-0008-0000-0300-000021010000}"/>
              </a:ext>
            </a:extLst>
          </xdr:cNvPr>
          <xdr:cNvGraphicFramePr/>
        </xdr:nvGraphicFramePr>
        <xdr:xfrm>
          <a:off x="830491" y="6401254"/>
          <a:ext cx="1698170" cy="1434194"/>
        </xdr:xfrm>
        <a:graphic>
          <a:graphicData uri="http://schemas.openxmlformats.org/drawingml/2006/chart">
            <c:chart xmlns:c="http://schemas.openxmlformats.org/drawingml/2006/chart" xmlns:r="http://schemas.openxmlformats.org/officeDocument/2006/relationships" r:id="rId12"/>
          </a:graphicData>
        </a:graphic>
      </xdr:graphicFrame>
    </xdr:grpSp>
    <xdr:clientData fLocksWithSheet="0"/>
  </xdr:twoCellAnchor>
  <xdr:twoCellAnchor>
    <xdr:from>
      <xdr:col>8</xdr:col>
      <xdr:colOff>1318078</xdr:colOff>
      <xdr:row>29</xdr:row>
      <xdr:rowOff>119290</xdr:rowOff>
    </xdr:from>
    <xdr:to>
      <xdr:col>14</xdr:col>
      <xdr:colOff>975177</xdr:colOff>
      <xdr:row>46</xdr:row>
      <xdr:rowOff>0</xdr:rowOff>
    </xdr:to>
    <xdr:grpSp>
      <xdr:nvGrpSpPr>
        <xdr:cNvPr id="290" name="Group 289">
          <a:extLst>
            <a:ext uri="{FF2B5EF4-FFF2-40B4-BE49-F238E27FC236}">
              <a16:creationId xmlns:a16="http://schemas.microsoft.com/office/drawing/2014/main" id="{00000000-0008-0000-0300-000022010000}"/>
            </a:ext>
          </a:extLst>
        </xdr:cNvPr>
        <xdr:cNvGrpSpPr/>
      </xdr:nvGrpSpPr>
      <xdr:grpSpPr>
        <a:xfrm>
          <a:off x="7652203" y="7143978"/>
          <a:ext cx="5336380" cy="2916803"/>
          <a:chOff x="830490" y="6401254"/>
          <a:chExt cx="5281384" cy="2964996"/>
        </a:xfrm>
        <a:noFill/>
      </xdr:grpSpPr>
      <xdr:graphicFrame macro="">
        <xdr:nvGraphicFramePr>
          <xdr:cNvPr id="291" name="Chart 7">
            <a:extLst>
              <a:ext uri="{FF2B5EF4-FFF2-40B4-BE49-F238E27FC236}">
                <a16:creationId xmlns:a16="http://schemas.microsoft.com/office/drawing/2014/main" id="{00000000-0008-0000-0300-000023010000}"/>
              </a:ext>
            </a:extLst>
          </xdr:cNvPr>
          <xdr:cNvGraphicFramePr/>
        </xdr:nvGraphicFramePr>
        <xdr:xfrm>
          <a:off x="830490" y="7778750"/>
          <a:ext cx="1709509" cy="1587500"/>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292" name="Chart 3">
            <a:extLst>
              <a:ext uri="{FF2B5EF4-FFF2-40B4-BE49-F238E27FC236}">
                <a16:creationId xmlns:a16="http://schemas.microsoft.com/office/drawing/2014/main" id="{00000000-0008-0000-0300-000024010000}"/>
              </a:ext>
            </a:extLst>
          </xdr:cNvPr>
          <xdr:cNvGraphicFramePr/>
        </xdr:nvGraphicFramePr>
        <xdr:xfrm>
          <a:off x="2585811" y="6537325"/>
          <a:ext cx="3526063" cy="2749550"/>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293" name="Chart 7">
            <a:extLst>
              <a:ext uri="{FF2B5EF4-FFF2-40B4-BE49-F238E27FC236}">
                <a16:creationId xmlns:a16="http://schemas.microsoft.com/office/drawing/2014/main" id="{00000000-0008-0000-0300-000025010000}"/>
              </a:ext>
            </a:extLst>
          </xdr:cNvPr>
          <xdr:cNvGraphicFramePr/>
        </xdr:nvGraphicFramePr>
        <xdr:xfrm>
          <a:off x="830491" y="6401254"/>
          <a:ext cx="1698170" cy="1434194"/>
        </xdr:xfrm>
        <a:graphic>
          <a:graphicData uri="http://schemas.openxmlformats.org/drawingml/2006/chart">
            <c:chart xmlns:c="http://schemas.openxmlformats.org/drawingml/2006/chart" xmlns:r="http://schemas.openxmlformats.org/officeDocument/2006/relationships" r:id="rId15"/>
          </a:graphicData>
        </a:graphic>
      </xdr:graphicFrame>
    </xdr:grpSp>
    <xdr:clientData fLocksWithSheet="0"/>
  </xdr:twoCellAnchor>
  <xdr:twoCellAnchor>
    <xdr:from>
      <xdr:col>1</xdr:col>
      <xdr:colOff>104774</xdr:colOff>
      <xdr:row>46</xdr:row>
      <xdr:rowOff>164646</xdr:rowOff>
    </xdr:from>
    <xdr:to>
      <xdr:col>7</xdr:col>
      <xdr:colOff>442230</xdr:colOff>
      <xdr:row>63</xdr:row>
      <xdr:rowOff>0</xdr:rowOff>
    </xdr:to>
    <xdr:grpSp>
      <xdr:nvGrpSpPr>
        <xdr:cNvPr id="294" name="Group 293">
          <a:extLst>
            <a:ext uri="{FF2B5EF4-FFF2-40B4-BE49-F238E27FC236}">
              <a16:creationId xmlns:a16="http://schemas.microsoft.com/office/drawing/2014/main" id="{00000000-0008-0000-0300-000026010000}"/>
            </a:ext>
          </a:extLst>
        </xdr:cNvPr>
        <xdr:cNvGrpSpPr/>
      </xdr:nvGrpSpPr>
      <xdr:grpSpPr>
        <a:xfrm>
          <a:off x="711993" y="10225427"/>
          <a:ext cx="5373800" cy="2871448"/>
          <a:chOff x="830490" y="6401254"/>
          <a:chExt cx="5281384" cy="2964996"/>
        </a:xfrm>
        <a:noFill/>
      </xdr:grpSpPr>
      <xdr:graphicFrame macro="">
        <xdr:nvGraphicFramePr>
          <xdr:cNvPr id="295" name="Chart 7">
            <a:extLst>
              <a:ext uri="{FF2B5EF4-FFF2-40B4-BE49-F238E27FC236}">
                <a16:creationId xmlns:a16="http://schemas.microsoft.com/office/drawing/2014/main" id="{00000000-0008-0000-0300-000027010000}"/>
              </a:ext>
            </a:extLst>
          </xdr:cNvPr>
          <xdr:cNvGraphicFramePr/>
        </xdr:nvGraphicFramePr>
        <xdr:xfrm>
          <a:off x="830490" y="7778750"/>
          <a:ext cx="1709509" cy="1587500"/>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296" name="Chart 3">
            <a:extLst>
              <a:ext uri="{FF2B5EF4-FFF2-40B4-BE49-F238E27FC236}">
                <a16:creationId xmlns:a16="http://schemas.microsoft.com/office/drawing/2014/main" id="{00000000-0008-0000-0300-000028010000}"/>
              </a:ext>
            </a:extLst>
          </xdr:cNvPr>
          <xdr:cNvGraphicFramePr/>
        </xdr:nvGraphicFramePr>
        <xdr:xfrm>
          <a:off x="2585811" y="6537325"/>
          <a:ext cx="3526063" cy="2749550"/>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297" name="Chart 7">
            <a:extLst>
              <a:ext uri="{FF2B5EF4-FFF2-40B4-BE49-F238E27FC236}">
                <a16:creationId xmlns:a16="http://schemas.microsoft.com/office/drawing/2014/main" id="{00000000-0008-0000-0300-000029010000}"/>
              </a:ext>
            </a:extLst>
          </xdr:cNvPr>
          <xdr:cNvGraphicFramePr/>
        </xdr:nvGraphicFramePr>
        <xdr:xfrm>
          <a:off x="830491" y="6401254"/>
          <a:ext cx="1698170" cy="1434194"/>
        </xdr:xfrm>
        <a:graphic>
          <a:graphicData uri="http://schemas.openxmlformats.org/drawingml/2006/chart">
            <c:chart xmlns:c="http://schemas.openxmlformats.org/drawingml/2006/chart" xmlns:r="http://schemas.openxmlformats.org/officeDocument/2006/relationships" r:id="rId18"/>
          </a:graphicData>
        </a:graphic>
      </xdr:graphicFrame>
    </xdr:grpSp>
    <xdr:clientData fLocksWithSheet="0"/>
  </xdr:twoCellAnchor>
  <xdr:twoCellAnchor>
    <xdr:from>
      <xdr:col>8</xdr:col>
      <xdr:colOff>1340756</xdr:colOff>
      <xdr:row>46</xdr:row>
      <xdr:rowOff>119289</xdr:rowOff>
    </xdr:from>
    <xdr:to>
      <xdr:col>14</xdr:col>
      <xdr:colOff>997855</xdr:colOff>
      <xdr:row>63</xdr:row>
      <xdr:rowOff>0</xdr:rowOff>
    </xdr:to>
    <xdr:grpSp>
      <xdr:nvGrpSpPr>
        <xdr:cNvPr id="298" name="Group 297">
          <a:extLst>
            <a:ext uri="{FF2B5EF4-FFF2-40B4-BE49-F238E27FC236}">
              <a16:creationId xmlns:a16="http://schemas.microsoft.com/office/drawing/2014/main" id="{00000000-0008-0000-0300-00002A010000}"/>
            </a:ext>
          </a:extLst>
        </xdr:cNvPr>
        <xdr:cNvGrpSpPr/>
      </xdr:nvGrpSpPr>
      <xdr:grpSpPr>
        <a:xfrm>
          <a:off x="7674881" y="10180070"/>
          <a:ext cx="5336380" cy="2916805"/>
          <a:chOff x="830490" y="6401254"/>
          <a:chExt cx="5281384" cy="2964996"/>
        </a:xfrm>
        <a:noFill/>
      </xdr:grpSpPr>
      <xdr:graphicFrame macro="">
        <xdr:nvGraphicFramePr>
          <xdr:cNvPr id="299" name="Chart 7">
            <a:extLst>
              <a:ext uri="{FF2B5EF4-FFF2-40B4-BE49-F238E27FC236}">
                <a16:creationId xmlns:a16="http://schemas.microsoft.com/office/drawing/2014/main" id="{00000000-0008-0000-0300-00002B010000}"/>
              </a:ext>
            </a:extLst>
          </xdr:cNvPr>
          <xdr:cNvGraphicFramePr/>
        </xdr:nvGraphicFramePr>
        <xdr:xfrm>
          <a:off x="830490" y="7778750"/>
          <a:ext cx="1709509" cy="1587500"/>
        </xdr:xfrm>
        <a:graphic>
          <a:graphicData uri="http://schemas.openxmlformats.org/drawingml/2006/chart">
            <c:chart xmlns:c="http://schemas.openxmlformats.org/drawingml/2006/chart" xmlns:r="http://schemas.openxmlformats.org/officeDocument/2006/relationships" r:id="rId19"/>
          </a:graphicData>
        </a:graphic>
      </xdr:graphicFrame>
      <xdr:graphicFrame macro="">
        <xdr:nvGraphicFramePr>
          <xdr:cNvPr id="300" name="Chart 3">
            <a:extLst>
              <a:ext uri="{FF2B5EF4-FFF2-40B4-BE49-F238E27FC236}">
                <a16:creationId xmlns:a16="http://schemas.microsoft.com/office/drawing/2014/main" id="{00000000-0008-0000-0300-00002C010000}"/>
              </a:ext>
            </a:extLst>
          </xdr:cNvPr>
          <xdr:cNvGraphicFramePr/>
        </xdr:nvGraphicFramePr>
        <xdr:xfrm>
          <a:off x="2585811" y="6537325"/>
          <a:ext cx="3526063" cy="2749550"/>
        </xdr:xfrm>
        <a:graphic>
          <a:graphicData uri="http://schemas.openxmlformats.org/drawingml/2006/chart">
            <c:chart xmlns:c="http://schemas.openxmlformats.org/drawingml/2006/chart" xmlns:r="http://schemas.openxmlformats.org/officeDocument/2006/relationships" r:id="rId20"/>
          </a:graphicData>
        </a:graphic>
      </xdr:graphicFrame>
      <xdr:graphicFrame macro="">
        <xdr:nvGraphicFramePr>
          <xdr:cNvPr id="301" name="Chart 7">
            <a:extLst>
              <a:ext uri="{FF2B5EF4-FFF2-40B4-BE49-F238E27FC236}">
                <a16:creationId xmlns:a16="http://schemas.microsoft.com/office/drawing/2014/main" id="{00000000-0008-0000-0300-00002D010000}"/>
              </a:ext>
            </a:extLst>
          </xdr:cNvPr>
          <xdr:cNvGraphicFramePr/>
        </xdr:nvGraphicFramePr>
        <xdr:xfrm>
          <a:off x="830491" y="6401254"/>
          <a:ext cx="1698170" cy="1434194"/>
        </xdr:xfrm>
        <a:graphic>
          <a:graphicData uri="http://schemas.openxmlformats.org/drawingml/2006/chart">
            <c:chart xmlns:c="http://schemas.openxmlformats.org/drawingml/2006/chart" xmlns:r="http://schemas.openxmlformats.org/officeDocument/2006/relationships" r:id="rId21"/>
          </a:graphicData>
        </a:graphic>
      </xdr:graphicFrame>
    </xdr:grpSp>
    <xdr:clientData fLocksWithSheet="0"/>
  </xdr:twoCellAnchor>
</xdr:wsDr>
</file>

<file path=xl/drawings/drawing3.xml><?xml version="1.0" encoding="utf-8"?>
<xdr:wsDr xmlns:xdr="http://schemas.openxmlformats.org/drawingml/2006/spreadsheetDrawing" xmlns:a="http://schemas.openxmlformats.org/drawingml/2006/main">
  <xdr:twoCellAnchor editAs="oneCell">
    <xdr:from>
      <xdr:col>38</xdr:col>
      <xdr:colOff>261938</xdr:colOff>
      <xdr:row>0</xdr:row>
      <xdr:rowOff>47625</xdr:rowOff>
    </xdr:from>
    <xdr:to>
      <xdr:col>42</xdr:col>
      <xdr:colOff>522289</xdr:colOff>
      <xdr:row>3</xdr:row>
      <xdr:rowOff>518277</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956626" y="47625"/>
          <a:ext cx="4403726" cy="11254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744691</xdr:colOff>
      <xdr:row>67</xdr:row>
      <xdr:rowOff>17318</xdr:rowOff>
    </xdr:from>
    <xdr:to>
      <xdr:col>30</xdr:col>
      <xdr:colOff>121227</xdr:colOff>
      <xdr:row>87</xdr:row>
      <xdr:rowOff>90055</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DOCUME~1\gnayou\LOCALS~1\Temp\notes16C00B\Tech\Goz%20Beida%20water%20and%20sanitation%20projects\Djabal%20Equipment%20li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nohungerforum.sharepoint.com/mi/pt/MEAL/5%20-%20Gaza/PTT%20Monthly%20Updates/April%202020%20Update/FBM/Complaint%20Log.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DOCUME~1\gnayou\LOCALS~1\Temp\notes16C00B\Documents%20and%20Settings\Chad\My%20Documents\Chad\Funding%20&amp;%20Grants\USAID\Revised%20Submission%2014%20Sept%2007\OFDA%20CP%20Budget%20final%20170907%20submitte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0.0.15\meal\Users\Walaa'\AppData\Local\Packages\Microsoft.SkypeApp_kzf8qxf38zg5c\LocalState\Downloads\0%20PMP_Project_Planning_Monitoring_ENGV09072018.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nohungerforum.sharepoint.com/Users/hp20/AppData/Roaming/Skype/My%20Skype%20Received%20Files/IRA_CSI_17049ECHO_Anbar%20Scooring_2017050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DOCUME~1\BOUCHE~1\LOCALS~1\Temp\R&#233;pertoire%20temporaire%205%20pour%20FullKitAdmin_EN_20120821.zip\EN\3.%20Budget\3.2%20Annual%20budget%20&amp;%20financing%20plans\3.2.1%20Annual%20budget%20-%20Example%20BI%202011\BI%20PlanFinFunct%20201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norwegianrefugeecouncil-my.sharepoint.com/Users/HP15-A~1/AppData/Local/Temp/Rar$DIa0.432/Gantt%20test%20HT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nohungerforum.sharepoint.com/Users/HP15-A~1/AppData/Local/Temp/Rar$DIa0.432/Gantt%20test%20HT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Documents%20and%20Settings\cta\Local%20Settings\Temp\Admin%20Coordo%20Kabul\Accounts%20&amp;%20Finance\Budget%20driving\Financial%20Plans\2006\2006\Expat%20Financial%20plans%20AH%202006072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TEMP\JVCFOR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Guidelines for ordering equip"/>
      <sheetName val="Djabal_materials"/>
      <sheetName val="LIST"/>
      <sheetName val="Total costs"/>
      <sheetName val="Grant line Info"/>
      <sheetName val="Read_Me"/>
      <sheetName val="Guidelines_for_ordering_equip"/>
      <sheetName val="Total_costs"/>
      <sheetName val="Grant_line_Info"/>
      <sheetName val="Read_Me1"/>
      <sheetName val="Guidelines_for_ordering_equip1"/>
      <sheetName val="Total_costs1"/>
      <sheetName val="Grant_line_Info1"/>
      <sheetName val="Read_Me2"/>
      <sheetName val="Guidelines_for_ordering_equip2"/>
      <sheetName val="Total_costs2"/>
      <sheetName val="Grant_line_Info2"/>
      <sheetName val="5_Budget"/>
      <sheetName val="project"/>
      <sheetName val="PARAMETRES"/>
      <sheetName val="Read_Me3"/>
      <sheetName val="Guidelines_for_ordering_equip3"/>
      <sheetName val="Total_costs3"/>
      <sheetName val="Grant_line_Info3"/>
      <sheetName val="Read_Me4"/>
      <sheetName val="Guidelines_for_ordering_equip4"/>
      <sheetName val="Total_costs4"/>
      <sheetName val="Grant_line_Info4"/>
    </sheetNames>
    <sheetDataSet>
      <sheetData sheetId="0" refreshError="1"/>
      <sheetData sheetId="1" refreshError="1"/>
      <sheetData sheetId="2">
        <row r="2">
          <cell r="B2" t="str">
            <v>Cat</v>
          </cell>
          <cell r="C2" t="str">
            <v>Account Code</v>
          </cell>
          <cell r="D2" t="str">
            <v>Code</v>
          </cell>
          <cell r="E2" t="str">
            <v>Description</v>
          </cell>
          <cell r="F2" t="str">
            <v>type</v>
          </cell>
          <cell r="G2" t="str">
            <v>Qty</v>
          </cell>
          <cell r="H2" t="str">
            <v>U Cost (£)</v>
          </cell>
          <cell r="I2" t="str">
            <v>T Cost (£)</v>
          </cell>
          <cell r="J2" t="str">
            <v>U Weight (kg)</v>
          </cell>
          <cell r="K2" t="str">
            <v>U Volume m3</v>
          </cell>
          <cell r="L2" t="str">
            <v>T Weight (kg)</v>
          </cell>
          <cell r="M2" t="str">
            <v>T Volume m3</v>
          </cell>
          <cell r="N2" t="str">
            <v>U Length</v>
          </cell>
          <cell r="O2" t="str">
            <v>U Width</v>
          </cell>
          <cell r="P2" t="str">
            <v>U Height</v>
          </cell>
        </row>
        <row r="3">
          <cell r="B3" t="str">
            <v>A</v>
          </cell>
          <cell r="C3">
            <v>47412</v>
          </cell>
          <cell r="D3" t="str">
            <v>AB</v>
          </cell>
          <cell r="E3" t="str">
            <v>Books and Manuals</v>
          </cell>
          <cell r="F3" t="str">
            <v>S</v>
          </cell>
          <cell r="H3">
            <v>202.97</v>
          </cell>
          <cell r="I3">
            <v>0</v>
          </cell>
          <cell r="J3">
            <v>15</v>
          </cell>
          <cell r="K3">
            <v>4.8384000000000003E-2</v>
          </cell>
          <cell r="L3">
            <v>0</v>
          </cell>
          <cell r="M3">
            <v>0</v>
          </cell>
          <cell r="N3">
            <v>48</v>
          </cell>
          <cell r="O3">
            <v>48</v>
          </cell>
          <cell r="P3">
            <v>21</v>
          </cell>
        </row>
        <row r="4">
          <cell r="B4" t="str">
            <v>A</v>
          </cell>
          <cell r="C4">
            <v>45549</v>
          </cell>
          <cell r="D4" t="str">
            <v>ABG</v>
          </cell>
          <cell r="E4" t="str">
            <v>Carrying Bag*</v>
          </cell>
          <cell r="F4" t="str">
            <v>S</v>
          </cell>
          <cell r="H4">
            <v>4.96</v>
          </cell>
          <cell r="I4">
            <v>0</v>
          </cell>
          <cell r="J4">
            <v>0.5</v>
          </cell>
          <cell r="K4">
            <v>1.8810000000000001E-3</v>
          </cell>
          <cell r="L4">
            <v>0</v>
          </cell>
          <cell r="M4">
            <v>0</v>
          </cell>
          <cell r="N4">
            <v>33</v>
          </cell>
          <cell r="O4">
            <v>19</v>
          </cell>
          <cell r="P4">
            <v>3</v>
          </cell>
        </row>
        <row r="5">
          <cell r="B5" t="str">
            <v>A</v>
          </cell>
          <cell r="C5">
            <v>45509</v>
          </cell>
          <cell r="D5" t="str">
            <v>AC</v>
          </cell>
          <cell r="E5" t="str">
            <v>Catering Equipment for Six People</v>
          </cell>
          <cell r="F5" t="str">
            <v>S</v>
          </cell>
          <cell r="H5">
            <v>1786.9</v>
          </cell>
          <cell r="I5">
            <v>0</v>
          </cell>
          <cell r="J5">
            <v>183</v>
          </cell>
          <cell r="K5">
            <v>1.3212600000000001</v>
          </cell>
          <cell r="L5">
            <v>0</v>
          </cell>
          <cell r="M5">
            <v>0</v>
          </cell>
          <cell r="N5">
            <v>122</v>
          </cell>
          <cell r="O5">
            <v>95</v>
          </cell>
          <cell r="P5">
            <v>114</v>
          </cell>
        </row>
        <row r="6">
          <cell r="B6" t="str">
            <v>A</v>
          </cell>
          <cell r="C6">
            <v>45509</v>
          </cell>
          <cell r="D6" t="str">
            <v>ACB</v>
          </cell>
          <cell r="E6" t="str">
            <v>Camp Bed</v>
          </cell>
          <cell r="F6" t="str">
            <v>S</v>
          </cell>
          <cell r="H6">
            <v>32.880000000000003</v>
          </cell>
          <cell r="I6">
            <v>0</v>
          </cell>
          <cell r="J6">
            <v>5</v>
          </cell>
          <cell r="K6">
            <v>1.0200000000000001E-2</v>
          </cell>
          <cell r="L6">
            <v>0</v>
          </cell>
          <cell r="M6">
            <v>0</v>
          </cell>
          <cell r="N6">
            <v>102</v>
          </cell>
          <cell r="O6">
            <v>10</v>
          </cell>
          <cell r="P6">
            <v>10</v>
          </cell>
        </row>
        <row r="7">
          <cell r="B7" t="str">
            <v>A</v>
          </cell>
          <cell r="C7">
            <v>46209</v>
          </cell>
          <cell r="D7" t="str">
            <v>ADC</v>
          </cell>
          <cell r="E7" t="str">
            <v>Digital Camera Kit*</v>
          </cell>
          <cell r="F7" t="str">
            <v>S</v>
          </cell>
          <cell r="H7">
            <v>283.83</v>
          </cell>
          <cell r="I7">
            <v>0</v>
          </cell>
          <cell r="J7">
            <v>2.5</v>
          </cell>
          <cell r="K7">
            <v>5.1000000000000004E-3</v>
          </cell>
          <cell r="L7">
            <v>0</v>
          </cell>
          <cell r="M7">
            <v>0</v>
          </cell>
          <cell r="N7">
            <v>20</v>
          </cell>
          <cell r="O7">
            <v>17</v>
          </cell>
          <cell r="P7">
            <v>15</v>
          </cell>
        </row>
        <row r="8">
          <cell r="B8" t="str">
            <v>A</v>
          </cell>
          <cell r="C8">
            <v>47430</v>
          </cell>
          <cell r="D8" t="str">
            <v>AFC</v>
          </cell>
          <cell r="E8" t="str">
            <v>Oxfam Petty Cash Vouchers*</v>
          </cell>
          <cell r="F8" t="str">
            <v>S</v>
          </cell>
          <cell r="H8">
            <v>0.45</v>
          </cell>
          <cell r="I8">
            <v>0</v>
          </cell>
          <cell r="J8">
            <v>0</v>
          </cell>
          <cell r="K8">
            <v>0</v>
          </cell>
          <cell r="L8">
            <v>0</v>
          </cell>
          <cell r="M8">
            <v>0</v>
          </cell>
          <cell r="N8">
            <v>0</v>
          </cell>
          <cell r="O8">
            <v>0</v>
          </cell>
          <cell r="P8">
            <v>0</v>
          </cell>
        </row>
        <row r="9">
          <cell r="B9" t="str">
            <v>A</v>
          </cell>
          <cell r="C9">
            <v>47430</v>
          </cell>
          <cell r="D9" t="str">
            <v>AFP</v>
          </cell>
          <cell r="E9" t="str">
            <v>Oxfam Payment Vouchers*</v>
          </cell>
          <cell r="F9" t="str">
            <v>S</v>
          </cell>
          <cell r="H9">
            <v>2.8</v>
          </cell>
          <cell r="I9">
            <v>0</v>
          </cell>
          <cell r="J9">
            <v>0</v>
          </cell>
          <cell r="K9">
            <v>0</v>
          </cell>
          <cell r="L9">
            <v>0</v>
          </cell>
          <cell r="M9">
            <v>0</v>
          </cell>
          <cell r="N9">
            <v>0</v>
          </cell>
          <cell r="O9">
            <v>0</v>
          </cell>
          <cell r="P9">
            <v>0</v>
          </cell>
        </row>
        <row r="10">
          <cell r="B10" t="str">
            <v>A</v>
          </cell>
          <cell r="C10">
            <v>47430</v>
          </cell>
          <cell r="D10" t="str">
            <v>AFR</v>
          </cell>
          <cell r="E10" t="str">
            <v>Oxfam Receipt Vouchers*</v>
          </cell>
          <cell r="F10" t="str">
            <v>S</v>
          </cell>
          <cell r="H10">
            <v>2.8</v>
          </cell>
          <cell r="I10">
            <v>0</v>
          </cell>
          <cell r="J10">
            <v>0</v>
          </cell>
          <cell r="K10">
            <v>0</v>
          </cell>
          <cell r="L10">
            <v>0</v>
          </cell>
          <cell r="M10">
            <v>0</v>
          </cell>
          <cell r="N10">
            <v>0</v>
          </cell>
          <cell r="O10">
            <v>0</v>
          </cell>
          <cell r="P10">
            <v>0</v>
          </cell>
        </row>
        <row r="11">
          <cell r="B11" t="str">
            <v>A</v>
          </cell>
          <cell r="C11">
            <v>46203</v>
          </cell>
          <cell r="D11" t="str">
            <v>ALP</v>
          </cell>
          <cell r="E11" t="str">
            <v>Laptop Computer Kit</v>
          </cell>
          <cell r="F11" t="str">
            <v>S</v>
          </cell>
          <cell r="H11">
            <v>1044.51</v>
          </cell>
          <cell r="I11">
            <v>0</v>
          </cell>
          <cell r="J11">
            <v>8</v>
          </cell>
          <cell r="K11">
            <v>0.108241</v>
          </cell>
          <cell r="L11">
            <v>0</v>
          </cell>
          <cell r="M11">
            <v>0</v>
          </cell>
          <cell r="N11">
            <v>47</v>
          </cell>
          <cell r="O11">
            <v>47</v>
          </cell>
          <cell r="P11">
            <v>49</v>
          </cell>
        </row>
        <row r="12">
          <cell r="B12" t="str">
            <v>A</v>
          </cell>
          <cell r="C12">
            <v>46059</v>
          </cell>
          <cell r="D12" t="str">
            <v>ALT</v>
          </cell>
          <cell r="E12" t="str">
            <v>Large Living Tent</v>
          </cell>
          <cell r="F12" t="str">
            <v>S</v>
          </cell>
          <cell r="G12">
            <v>2</v>
          </cell>
          <cell r="H12">
            <v>662.41</v>
          </cell>
          <cell r="I12">
            <v>1324.82</v>
          </cell>
          <cell r="J12">
            <v>130</v>
          </cell>
          <cell r="K12">
            <v>0.45171</v>
          </cell>
          <cell r="L12">
            <v>260</v>
          </cell>
          <cell r="M12">
            <v>0.90342</v>
          </cell>
          <cell r="N12">
            <v>239</v>
          </cell>
          <cell r="O12">
            <v>54</v>
          </cell>
          <cell r="P12">
            <v>35</v>
          </cell>
        </row>
        <row r="13">
          <cell r="B13" t="str">
            <v>A</v>
          </cell>
          <cell r="C13">
            <v>45549</v>
          </cell>
          <cell r="D13" t="str">
            <v>AMB</v>
          </cell>
          <cell r="E13" t="str">
            <v>Money Belt*</v>
          </cell>
          <cell r="F13" t="str">
            <v>S</v>
          </cell>
          <cell r="H13">
            <v>3.99</v>
          </cell>
          <cell r="I13">
            <v>0</v>
          </cell>
          <cell r="J13">
            <v>0.1</v>
          </cell>
          <cell r="K13">
            <v>2.52E-4</v>
          </cell>
          <cell r="L13">
            <v>0</v>
          </cell>
          <cell r="M13">
            <v>0</v>
          </cell>
          <cell r="N13">
            <v>6</v>
          </cell>
          <cell r="O13">
            <v>14</v>
          </cell>
          <cell r="P13">
            <v>3</v>
          </cell>
        </row>
        <row r="14">
          <cell r="B14" t="str">
            <v>A</v>
          </cell>
          <cell r="C14">
            <v>48004</v>
          </cell>
          <cell r="D14" t="str">
            <v>AND</v>
          </cell>
          <cell r="E14" t="str">
            <v>Double Mosquito Net*</v>
          </cell>
          <cell r="F14" t="str">
            <v>S</v>
          </cell>
          <cell r="H14">
            <v>40.718200000000003</v>
          </cell>
          <cell r="I14">
            <v>0</v>
          </cell>
          <cell r="J14">
            <v>2</v>
          </cell>
          <cell r="K14">
            <v>4.2560000000000002E-3</v>
          </cell>
          <cell r="L14">
            <v>0</v>
          </cell>
          <cell r="M14">
            <v>0</v>
          </cell>
          <cell r="N14">
            <v>38</v>
          </cell>
          <cell r="O14">
            <v>28</v>
          </cell>
          <cell r="P14">
            <v>4</v>
          </cell>
        </row>
        <row r="15">
          <cell r="B15" t="str">
            <v>A</v>
          </cell>
          <cell r="C15">
            <v>48004</v>
          </cell>
          <cell r="D15" t="str">
            <v>ANR</v>
          </cell>
          <cell r="E15" t="str">
            <v>Mosquito Net Reimpregnation Kit*</v>
          </cell>
          <cell r="F15" t="str">
            <v>S</v>
          </cell>
          <cell r="H15">
            <v>4.5</v>
          </cell>
          <cell r="I15">
            <v>0</v>
          </cell>
          <cell r="J15">
            <v>1</v>
          </cell>
          <cell r="K15">
            <v>2.9999999999999997E-4</v>
          </cell>
          <cell r="L15">
            <v>0</v>
          </cell>
          <cell r="M15">
            <v>0</v>
          </cell>
          <cell r="N15">
            <v>12</v>
          </cell>
          <cell r="O15">
            <v>5</v>
          </cell>
          <cell r="P15">
            <v>5</v>
          </cell>
        </row>
        <row r="16">
          <cell r="B16" t="str">
            <v>A</v>
          </cell>
          <cell r="C16">
            <v>47433</v>
          </cell>
          <cell r="D16" t="str">
            <v>AOS1</v>
          </cell>
          <cell r="E16" t="str">
            <v>Oxfam T-Shirt Size Large*</v>
          </cell>
          <cell r="F16" t="str">
            <v>S</v>
          </cell>
          <cell r="H16">
            <v>3.68</v>
          </cell>
          <cell r="I16">
            <v>0</v>
          </cell>
          <cell r="J16">
            <v>0.2</v>
          </cell>
          <cell r="K16">
            <v>1.2E-4</v>
          </cell>
          <cell r="L16">
            <v>0</v>
          </cell>
          <cell r="M16">
            <v>0</v>
          </cell>
          <cell r="N16">
            <v>12</v>
          </cell>
          <cell r="O16">
            <v>10</v>
          </cell>
          <cell r="P16">
            <v>1</v>
          </cell>
        </row>
        <row r="17">
          <cell r="B17" t="str">
            <v>A</v>
          </cell>
          <cell r="C17">
            <v>47433</v>
          </cell>
          <cell r="D17" t="str">
            <v>AOS2</v>
          </cell>
          <cell r="E17" t="str">
            <v>Oxfam T-Shirt X-Large*</v>
          </cell>
          <cell r="F17" t="str">
            <v>S</v>
          </cell>
          <cell r="H17">
            <v>3.25</v>
          </cell>
          <cell r="I17">
            <v>0</v>
          </cell>
          <cell r="J17">
            <v>0.2</v>
          </cell>
          <cell r="K17">
            <v>1.2E-4</v>
          </cell>
          <cell r="L17">
            <v>0</v>
          </cell>
          <cell r="M17">
            <v>0</v>
          </cell>
          <cell r="N17">
            <v>12</v>
          </cell>
          <cell r="O17">
            <v>10</v>
          </cell>
          <cell r="P17">
            <v>1</v>
          </cell>
        </row>
        <row r="18">
          <cell r="B18" t="str">
            <v>A</v>
          </cell>
          <cell r="C18">
            <v>47433</v>
          </cell>
          <cell r="D18" t="str">
            <v>AOT</v>
          </cell>
          <cell r="E18" t="str">
            <v>Oxfam Logo Tape*</v>
          </cell>
          <cell r="F18" t="str">
            <v>S</v>
          </cell>
          <cell r="H18">
            <v>1.46</v>
          </cell>
          <cell r="I18">
            <v>0</v>
          </cell>
          <cell r="J18">
            <v>0.3</v>
          </cell>
          <cell r="K18">
            <v>7.2000000000000005E-4</v>
          </cell>
          <cell r="L18">
            <v>0</v>
          </cell>
          <cell r="M18">
            <v>0</v>
          </cell>
          <cell r="N18">
            <v>12</v>
          </cell>
          <cell r="O18">
            <v>12</v>
          </cell>
          <cell r="P18">
            <v>5</v>
          </cell>
        </row>
        <row r="19">
          <cell r="B19" t="str">
            <v>A</v>
          </cell>
          <cell r="C19">
            <v>47411</v>
          </cell>
          <cell r="D19" t="str">
            <v>AOX</v>
          </cell>
          <cell r="E19" t="str">
            <v>Oxfam Specific Items</v>
          </cell>
          <cell r="F19" t="str">
            <v>S</v>
          </cell>
          <cell r="H19">
            <v>405.66</v>
          </cell>
          <cell r="I19">
            <v>0</v>
          </cell>
          <cell r="J19">
            <v>32</v>
          </cell>
          <cell r="K19">
            <v>7.9523999999999997E-2</v>
          </cell>
          <cell r="L19">
            <v>0</v>
          </cell>
          <cell r="M19">
            <v>0</v>
          </cell>
          <cell r="N19">
            <v>47</v>
          </cell>
          <cell r="O19">
            <v>47</v>
          </cell>
          <cell r="P19">
            <v>36</v>
          </cell>
        </row>
        <row r="20">
          <cell r="B20" t="str">
            <v>A</v>
          </cell>
          <cell r="C20">
            <v>45549</v>
          </cell>
          <cell r="D20" t="str">
            <v>AP</v>
          </cell>
          <cell r="E20" t="str">
            <v>Personal Equipment for One Person</v>
          </cell>
          <cell r="F20" t="str">
            <v>S</v>
          </cell>
          <cell r="H20">
            <v>742.54</v>
          </cell>
          <cell r="I20">
            <v>0</v>
          </cell>
          <cell r="J20">
            <v>42</v>
          </cell>
          <cell r="K20">
            <v>0.48880800000000002</v>
          </cell>
          <cell r="L20">
            <v>0</v>
          </cell>
          <cell r="M20">
            <v>0</v>
          </cell>
          <cell r="N20">
            <v>108</v>
          </cell>
          <cell r="O20">
            <v>73</v>
          </cell>
          <cell r="P20">
            <v>62</v>
          </cell>
        </row>
        <row r="21">
          <cell r="B21" t="str">
            <v>A</v>
          </cell>
          <cell r="C21">
            <v>46209</v>
          </cell>
          <cell r="D21" t="str">
            <v>APC</v>
          </cell>
          <cell r="E21" t="str">
            <v>Photocopier with Spares &amp; Paper</v>
          </cell>
          <cell r="F21" t="str">
            <v>S</v>
          </cell>
          <cell r="H21">
            <v>965.48</v>
          </cell>
          <cell r="I21">
            <v>0</v>
          </cell>
          <cell r="J21">
            <v>112</v>
          </cell>
          <cell r="K21">
            <v>0.78781599999999996</v>
          </cell>
          <cell r="L21">
            <v>0</v>
          </cell>
          <cell r="M21">
            <v>0</v>
          </cell>
          <cell r="N21">
            <v>146</v>
          </cell>
          <cell r="O21">
            <v>76</v>
          </cell>
          <cell r="P21">
            <v>71</v>
          </cell>
        </row>
        <row r="22">
          <cell r="B22" t="str">
            <v>A</v>
          </cell>
          <cell r="C22">
            <v>46204</v>
          </cell>
          <cell r="D22" t="str">
            <v>APR</v>
          </cell>
          <cell r="E22" t="str">
            <v>Portable Printer Kit</v>
          </cell>
          <cell r="F22" t="str">
            <v>S</v>
          </cell>
          <cell r="H22">
            <v>235.87</v>
          </cell>
          <cell r="I22">
            <v>0</v>
          </cell>
          <cell r="J22">
            <v>7</v>
          </cell>
          <cell r="K22">
            <v>1.8981000000000001E-2</v>
          </cell>
          <cell r="L22">
            <v>0</v>
          </cell>
          <cell r="M22">
            <v>0</v>
          </cell>
          <cell r="N22">
            <v>37</v>
          </cell>
          <cell r="O22">
            <v>27</v>
          </cell>
          <cell r="P22">
            <v>19</v>
          </cell>
        </row>
        <row r="23">
          <cell r="B23" t="str">
            <v>A</v>
          </cell>
          <cell r="C23">
            <v>47430</v>
          </cell>
          <cell r="D23" t="str">
            <v>AS</v>
          </cell>
          <cell r="E23" t="str">
            <v>Complete Stationery Kit (comes in 2 boxes)</v>
          </cell>
          <cell r="F23" t="str">
            <v>S</v>
          </cell>
          <cell r="H23">
            <v>642.4</v>
          </cell>
          <cell r="I23">
            <v>0</v>
          </cell>
          <cell r="J23">
            <v>158</v>
          </cell>
          <cell r="K23">
            <v>0.50751999999999997</v>
          </cell>
          <cell r="L23">
            <v>0</v>
          </cell>
          <cell r="M23">
            <v>0</v>
          </cell>
          <cell r="N23">
            <v>52</v>
          </cell>
          <cell r="O23">
            <v>80</v>
          </cell>
          <cell r="P23">
            <v>122</v>
          </cell>
        </row>
        <row r="24">
          <cell r="B24" t="str">
            <v>A</v>
          </cell>
          <cell r="C24">
            <v>45509</v>
          </cell>
          <cell r="D24" t="str">
            <v>ASB</v>
          </cell>
          <cell r="E24" t="str">
            <v>Sleeping Bag</v>
          </cell>
          <cell r="F24" t="str">
            <v>S</v>
          </cell>
          <cell r="H24">
            <v>20.93</v>
          </cell>
          <cell r="I24">
            <v>0</v>
          </cell>
          <cell r="J24">
            <v>2</v>
          </cell>
          <cell r="K24">
            <v>1.9359999999999999E-2</v>
          </cell>
          <cell r="L24">
            <v>0</v>
          </cell>
          <cell r="M24">
            <v>0</v>
          </cell>
          <cell r="N24">
            <v>40</v>
          </cell>
          <cell r="O24">
            <v>22</v>
          </cell>
          <cell r="P24">
            <v>22</v>
          </cell>
        </row>
        <row r="25">
          <cell r="B25" t="str">
            <v>A</v>
          </cell>
          <cell r="C25">
            <v>45549</v>
          </cell>
          <cell r="D25" t="str">
            <v>ASHK</v>
          </cell>
          <cell r="E25" t="str">
            <v>Staff Health Kit*</v>
          </cell>
          <cell r="F25" t="str">
            <v>S</v>
          </cell>
          <cell r="H25">
            <v>29.67</v>
          </cell>
          <cell r="I25">
            <v>0</v>
          </cell>
          <cell r="J25">
            <v>0.8</v>
          </cell>
          <cell r="K25">
            <v>3.5999999999999999E-3</v>
          </cell>
          <cell r="L25">
            <v>0</v>
          </cell>
          <cell r="M25">
            <v>0</v>
          </cell>
          <cell r="N25">
            <v>20</v>
          </cell>
          <cell r="O25">
            <v>20</v>
          </cell>
          <cell r="P25">
            <v>9</v>
          </cell>
        </row>
        <row r="26">
          <cell r="B26" t="str">
            <v>A</v>
          </cell>
          <cell r="C26">
            <v>45549</v>
          </cell>
          <cell r="D26" t="str">
            <v>ASK</v>
          </cell>
          <cell r="E26" t="str">
            <v>Syringe Kit</v>
          </cell>
          <cell r="F26" t="str">
            <v>S</v>
          </cell>
          <cell r="H26">
            <v>2.5499999999999998</v>
          </cell>
          <cell r="I26">
            <v>0</v>
          </cell>
          <cell r="J26">
            <v>0.1</v>
          </cell>
          <cell r="K26">
            <v>2.34E-4</v>
          </cell>
          <cell r="L26">
            <v>0</v>
          </cell>
          <cell r="M26">
            <v>0</v>
          </cell>
          <cell r="N26">
            <v>13</v>
          </cell>
          <cell r="O26">
            <v>9</v>
          </cell>
          <cell r="P26">
            <v>2</v>
          </cell>
        </row>
        <row r="27">
          <cell r="B27" t="str">
            <v>A</v>
          </cell>
          <cell r="C27">
            <v>45549</v>
          </cell>
          <cell r="D27" t="str">
            <v>ASTDD</v>
          </cell>
          <cell r="E27" t="str">
            <v>Small Tent Double Dome (For Use In Mixed Cond</v>
          </cell>
          <cell r="F27" t="str">
            <v>S</v>
          </cell>
          <cell r="H27">
            <v>192.42</v>
          </cell>
          <cell r="I27">
            <v>0</v>
          </cell>
          <cell r="J27">
            <v>12</v>
          </cell>
          <cell r="K27">
            <v>6.7599999999999993E-2</v>
          </cell>
          <cell r="L27">
            <v>0</v>
          </cell>
          <cell r="M27">
            <v>0</v>
          </cell>
          <cell r="N27">
            <v>100</v>
          </cell>
          <cell r="O27">
            <v>26</v>
          </cell>
          <cell r="P27">
            <v>26</v>
          </cell>
        </row>
        <row r="28">
          <cell r="B28" t="str">
            <v>A</v>
          </cell>
          <cell r="C28">
            <v>45508</v>
          </cell>
          <cell r="D28" t="str">
            <v>ASTID</v>
          </cell>
          <cell r="E28" t="str">
            <v>Small Tent Individual Dome</v>
          </cell>
          <cell r="F28" t="str">
            <v>S</v>
          </cell>
          <cell r="H28">
            <v>67.94</v>
          </cell>
          <cell r="I28">
            <v>0</v>
          </cell>
          <cell r="J28">
            <v>4</v>
          </cell>
          <cell r="K28">
            <v>3.2832E-2</v>
          </cell>
          <cell r="L28">
            <v>0</v>
          </cell>
          <cell r="M28">
            <v>0</v>
          </cell>
          <cell r="N28">
            <v>57</v>
          </cell>
          <cell r="O28">
            <v>24</v>
          </cell>
          <cell r="P28">
            <v>24</v>
          </cell>
        </row>
        <row r="29">
          <cell r="B29" t="str">
            <v>A</v>
          </cell>
          <cell r="C29">
            <v>45508</v>
          </cell>
          <cell r="D29" t="str">
            <v>ASTRD</v>
          </cell>
          <cell r="E29" t="str">
            <v>Small Ridged Tent (For Use In Hot Dry Condition</v>
          </cell>
          <cell r="F29" t="str">
            <v>S</v>
          </cell>
          <cell r="H29">
            <v>244.48</v>
          </cell>
          <cell r="I29">
            <v>0</v>
          </cell>
          <cell r="J29">
            <v>20</v>
          </cell>
          <cell r="K29">
            <v>0.121644</v>
          </cell>
          <cell r="L29">
            <v>0</v>
          </cell>
          <cell r="M29">
            <v>0</v>
          </cell>
          <cell r="N29">
            <v>109</v>
          </cell>
          <cell r="O29">
            <v>36</v>
          </cell>
          <cell r="P29">
            <v>31</v>
          </cell>
        </row>
        <row r="30">
          <cell r="B30" t="str">
            <v>A</v>
          </cell>
          <cell r="C30">
            <v>45508</v>
          </cell>
          <cell r="D30" t="str">
            <v>ATK</v>
          </cell>
          <cell r="E30" t="str">
            <v>Emergency Transfusion Kit</v>
          </cell>
          <cell r="F30" t="str">
            <v>S</v>
          </cell>
          <cell r="H30">
            <v>30.39</v>
          </cell>
          <cell r="I30">
            <v>0</v>
          </cell>
          <cell r="J30">
            <v>2</v>
          </cell>
          <cell r="K30">
            <v>7.8399999999999997E-3</v>
          </cell>
          <cell r="L30">
            <v>0</v>
          </cell>
          <cell r="M30">
            <v>0</v>
          </cell>
          <cell r="N30">
            <v>40</v>
          </cell>
          <cell r="O30">
            <v>28</v>
          </cell>
          <cell r="P30">
            <v>7</v>
          </cell>
        </row>
        <row r="31">
          <cell r="B31" t="str">
            <v>A</v>
          </cell>
          <cell r="C31">
            <v>46075</v>
          </cell>
          <cell r="D31" t="str">
            <v>AUP</v>
          </cell>
          <cell r="E31" t="str">
            <v>Universal Adapter 3 pin to 2 pin*</v>
          </cell>
          <cell r="F31" t="str">
            <v>S</v>
          </cell>
          <cell r="H31">
            <v>5.85</v>
          </cell>
          <cell r="I31">
            <v>0</v>
          </cell>
          <cell r="J31">
            <v>0.1</v>
          </cell>
          <cell r="K31">
            <v>1.4999999999999999E-4</v>
          </cell>
          <cell r="L31">
            <v>0</v>
          </cell>
          <cell r="M31">
            <v>0</v>
          </cell>
          <cell r="N31">
            <v>6</v>
          </cell>
          <cell r="O31">
            <v>5</v>
          </cell>
          <cell r="P31">
            <v>5</v>
          </cell>
        </row>
        <row r="32">
          <cell r="B32" t="str">
            <v>A</v>
          </cell>
          <cell r="C32">
            <v>46075</v>
          </cell>
          <cell r="D32" t="str">
            <v>AUP2</v>
          </cell>
          <cell r="E32" t="str">
            <v>Travel Adapter 2 pin to 3 pin*</v>
          </cell>
          <cell r="F32" t="str">
            <v>S</v>
          </cell>
          <cell r="H32">
            <v>3.33</v>
          </cell>
          <cell r="I32">
            <v>0</v>
          </cell>
          <cell r="J32">
            <v>0.1</v>
          </cell>
          <cell r="K32">
            <v>1.8000000000000001E-4</v>
          </cell>
          <cell r="L32">
            <v>0</v>
          </cell>
          <cell r="M32">
            <v>0</v>
          </cell>
          <cell r="N32">
            <v>6</v>
          </cell>
          <cell r="O32">
            <v>6</v>
          </cell>
          <cell r="P32">
            <v>5</v>
          </cell>
        </row>
        <row r="33">
          <cell r="B33" t="str">
            <v>A</v>
          </cell>
          <cell r="C33">
            <v>46075</v>
          </cell>
          <cell r="D33" t="str">
            <v>AVS</v>
          </cell>
          <cell r="E33" t="str">
            <v>Automatic Voltage Switch 13 A*</v>
          </cell>
          <cell r="F33" t="str">
            <v>S</v>
          </cell>
          <cell r="H33">
            <v>56.05</v>
          </cell>
          <cell r="I33">
            <v>0</v>
          </cell>
          <cell r="J33">
            <v>1</v>
          </cell>
          <cell r="K33">
            <v>1.3860000000000001E-3</v>
          </cell>
          <cell r="L33">
            <v>0</v>
          </cell>
          <cell r="M33">
            <v>0</v>
          </cell>
          <cell r="N33">
            <v>21</v>
          </cell>
          <cell r="O33">
            <v>11</v>
          </cell>
          <cell r="P33">
            <v>6</v>
          </cell>
        </row>
        <row r="34">
          <cell r="B34" t="str">
            <v>A</v>
          </cell>
          <cell r="C34">
            <v>46075</v>
          </cell>
          <cell r="D34" t="str">
            <v>AX1B</v>
          </cell>
          <cell r="E34" t="str">
            <v>Water Filter SS4</v>
          </cell>
          <cell r="F34" t="str">
            <v>S</v>
          </cell>
          <cell r="H34">
            <v>42.3217</v>
          </cell>
          <cell r="I34">
            <v>0</v>
          </cell>
          <cell r="J34">
            <v>3</v>
          </cell>
          <cell r="K34">
            <v>2.2747E-2</v>
          </cell>
          <cell r="L34">
            <v>0</v>
          </cell>
          <cell r="M34">
            <v>0</v>
          </cell>
          <cell r="N34">
            <v>43</v>
          </cell>
          <cell r="O34">
            <v>23</v>
          </cell>
          <cell r="P34">
            <v>23</v>
          </cell>
        </row>
        <row r="35">
          <cell r="B35" t="str">
            <v>A</v>
          </cell>
          <cell r="C35">
            <v>46075</v>
          </cell>
          <cell r="D35" t="str">
            <v>AZF</v>
          </cell>
          <cell r="E35" t="str">
            <v>Super Sterasyl Candle</v>
          </cell>
          <cell r="F35" t="str">
            <v>S</v>
          </cell>
          <cell r="H35">
            <v>4.8499999999999996</v>
          </cell>
          <cell r="I35">
            <v>0</v>
          </cell>
          <cell r="J35">
            <v>0</v>
          </cell>
          <cell r="K35">
            <v>7.2000000000000002E-5</v>
          </cell>
          <cell r="L35">
            <v>0</v>
          </cell>
          <cell r="M35">
            <v>0</v>
          </cell>
          <cell r="N35">
            <v>8</v>
          </cell>
          <cell r="O35">
            <v>3</v>
          </cell>
          <cell r="P35">
            <v>3</v>
          </cell>
        </row>
        <row r="36">
          <cell r="B36" t="str">
            <v>B</v>
          </cell>
          <cell r="C36">
            <v>48102</v>
          </cell>
          <cell r="D36" t="str">
            <v>BC4</v>
          </cell>
          <cell r="E36" t="str">
            <v>Borehole Compressor (For 4" Dia. Oxfam Well Design)</v>
          </cell>
          <cell r="F36" t="str">
            <v>N</v>
          </cell>
          <cell r="H36">
            <v>13583.94</v>
          </cell>
          <cell r="I36">
            <v>0</v>
          </cell>
          <cell r="J36">
            <v>1665</v>
          </cell>
          <cell r="K36">
            <v>0</v>
          </cell>
          <cell r="L36">
            <v>0</v>
          </cell>
          <cell r="M36">
            <v>0</v>
          </cell>
        </row>
        <row r="37">
          <cell r="B37" t="str">
            <v>B</v>
          </cell>
          <cell r="C37">
            <v>48102</v>
          </cell>
          <cell r="D37" t="str">
            <v>BC6</v>
          </cell>
          <cell r="E37" t="str">
            <v>Borehole Compressor (For 6" Dia. Oxfam Well Design)</v>
          </cell>
          <cell r="F37" t="str">
            <v>N</v>
          </cell>
          <cell r="H37">
            <v>19852</v>
          </cell>
          <cell r="I37">
            <v>0</v>
          </cell>
          <cell r="J37">
            <v>1665</v>
          </cell>
          <cell r="K37">
            <v>0</v>
          </cell>
          <cell r="L37">
            <v>0</v>
          </cell>
          <cell r="M37">
            <v>0</v>
          </cell>
        </row>
        <row r="38">
          <cell r="B38" t="str">
            <v>B</v>
          </cell>
          <cell r="C38">
            <v>48102</v>
          </cell>
          <cell r="D38" t="str">
            <v>BC8</v>
          </cell>
          <cell r="E38" t="str">
            <v>Borehole Compressor (For 8" Dia. Oxfam Well Design)</v>
          </cell>
          <cell r="F38" t="str">
            <v>N</v>
          </cell>
          <cell r="H38">
            <v>44422.239999999998</v>
          </cell>
          <cell r="I38">
            <v>0</v>
          </cell>
          <cell r="J38">
            <v>4960</v>
          </cell>
          <cell r="K38">
            <v>24.573432</v>
          </cell>
          <cell r="L38">
            <v>0</v>
          </cell>
          <cell r="M38">
            <v>0</v>
          </cell>
          <cell r="N38">
            <v>221</v>
          </cell>
          <cell r="O38">
            <v>246</v>
          </cell>
          <cell r="P38">
            <v>452</v>
          </cell>
        </row>
        <row r="39">
          <cell r="B39" t="str">
            <v>B</v>
          </cell>
          <cell r="C39">
            <v>48104</v>
          </cell>
          <cell r="D39" t="str">
            <v>BDH4</v>
          </cell>
          <cell r="E39" t="str">
            <v>3" Down-the-Hole Hammer (for 4" Dia. Oxfam Well Design)</v>
          </cell>
          <cell r="F39" t="str">
            <v>N</v>
          </cell>
          <cell r="H39">
            <v>2122.75</v>
          </cell>
          <cell r="I39">
            <v>0</v>
          </cell>
          <cell r="J39">
            <v>76</v>
          </cell>
          <cell r="K39">
            <v>0</v>
          </cell>
          <cell r="L39">
            <v>0</v>
          </cell>
          <cell r="M39">
            <v>0</v>
          </cell>
        </row>
        <row r="40">
          <cell r="B40" t="str">
            <v>B</v>
          </cell>
          <cell r="C40">
            <v>48104</v>
          </cell>
          <cell r="D40" t="str">
            <v>BDH6</v>
          </cell>
          <cell r="E40" t="str">
            <v>4" Down-The-Hole Hammer (for 6" Dia. Oxfam Well Design)</v>
          </cell>
          <cell r="F40" t="str">
            <v>N</v>
          </cell>
          <cell r="H40">
            <v>4362</v>
          </cell>
          <cell r="I40">
            <v>0</v>
          </cell>
          <cell r="J40">
            <v>135</v>
          </cell>
          <cell r="K40">
            <v>0</v>
          </cell>
          <cell r="L40">
            <v>0</v>
          </cell>
          <cell r="M40">
            <v>0</v>
          </cell>
        </row>
        <row r="41">
          <cell r="B41" t="str">
            <v>B</v>
          </cell>
          <cell r="C41">
            <v>48104</v>
          </cell>
          <cell r="D41" t="str">
            <v>BDH8</v>
          </cell>
          <cell r="E41" t="str">
            <v>4" Down-The-Hole Hammer (for 8" Dia. Oxfam Well Design)</v>
          </cell>
          <cell r="F41" t="str">
            <v>N</v>
          </cell>
          <cell r="H41">
            <v>11498.15</v>
          </cell>
          <cell r="I41">
            <v>0</v>
          </cell>
          <cell r="J41">
            <v>880</v>
          </cell>
          <cell r="K41">
            <v>1.0009999999999999</v>
          </cell>
          <cell r="L41">
            <v>0</v>
          </cell>
          <cell r="M41">
            <v>0</v>
          </cell>
          <cell r="N41">
            <v>70</v>
          </cell>
          <cell r="O41">
            <v>130</v>
          </cell>
          <cell r="P41">
            <v>110</v>
          </cell>
        </row>
        <row r="42">
          <cell r="B42" t="str">
            <v>B</v>
          </cell>
          <cell r="C42">
            <v>48103</v>
          </cell>
          <cell r="D42" t="str">
            <v>BDR4</v>
          </cell>
          <cell r="E42" t="str">
            <v>Drilling Rig, (For 4" Dia. Oxfam Well Design)</v>
          </cell>
          <cell r="F42" t="str">
            <v>N</v>
          </cell>
          <cell r="H42">
            <v>19736.29</v>
          </cell>
          <cell r="I42">
            <v>0</v>
          </cell>
          <cell r="J42">
            <v>209</v>
          </cell>
          <cell r="K42">
            <v>0</v>
          </cell>
          <cell r="L42">
            <v>0</v>
          </cell>
          <cell r="M42">
            <v>0</v>
          </cell>
        </row>
        <row r="43">
          <cell r="B43" t="str">
            <v>B</v>
          </cell>
          <cell r="C43">
            <v>48103</v>
          </cell>
          <cell r="D43" t="str">
            <v>BDR6</v>
          </cell>
          <cell r="E43" t="str">
            <v>Drilling Rig, (for 6" Dia. Oxfam Well Design)</v>
          </cell>
          <cell r="F43" t="str">
            <v>N</v>
          </cell>
          <cell r="H43">
            <v>33430.78</v>
          </cell>
          <cell r="I43">
            <v>0</v>
          </cell>
          <cell r="J43">
            <v>196</v>
          </cell>
          <cell r="K43">
            <v>0</v>
          </cell>
          <cell r="L43">
            <v>0</v>
          </cell>
          <cell r="M43">
            <v>0</v>
          </cell>
        </row>
        <row r="44">
          <cell r="B44" t="str">
            <v>B</v>
          </cell>
          <cell r="C44">
            <v>48103</v>
          </cell>
          <cell r="D44" t="str">
            <v>BDR8</v>
          </cell>
          <cell r="E44" t="str">
            <v>Drilling Rig, (for 8" Dia. Oxfam Well Design)</v>
          </cell>
          <cell r="F44" t="str">
            <v>N</v>
          </cell>
          <cell r="H44">
            <v>60145.279999999999</v>
          </cell>
          <cell r="I44">
            <v>0</v>
          </cell>
          <cell r="J44">
            <v>14500</v>
          </cell>
          <cell r="K44">
            <v>31.784928000000001</v>
          </cell>
          <cell r="L44">
            <v>0</v>
          </cell>
          <cell r="M44">
            <v>0</v>
          </cell>
          <cell r="N44">
            <v>588</v>
          </cell>
          <cell r="O44">
            <v>232</v>
          </cell>
          <cell r="P44">
            <v>233</v>
          </cell>
        </row>
        <row r="45">
          <cell r="B45" t="str">
            <v>B</v>
          </cell>
          <cell r="C45">
            <v>48105</v>
          </cell>
          <cell r="D45" t="str">
            <v>BMP4</v>
          </cell>
          <cell r="E45" t="str">
            <v>Mud Pump (for 4" Dia. Oxfam Well Design)</v>
          </cell>
          <cell r="F45" t="str">
            <v>N</v>
          </cell>
          <cell r="H45">
            <v>2639.26</v>
          </cell>
          <cell r="I45">
            <v>0</v>
          </cell>
          <cell r="J45">
            <v>228</v>
          </cell>
          <cell r="K45">
            <v>0.67200000000000004</v>
          </cell>
          <cell r="L45">
            <v>0</v>
          </cell>
          <cell r="M45">
            <v>0</v>
          </cell>
          <cell r="N45">
            <v>128</v>
          </cell>
          <cell r="O45">
            <v>75</v>
          </cell>
          <cell r="P45">
            <v>70</v>
          </cell>
        </row>
        <row r="46">
          <cell r="B46" t="str">
            <v>B</v>
          </cell>
          <cell r="C46">
            <v>48105</v>
          </cell>
          <cell r="D46" t="str">
            <v>BMP6</v>
          </cell>
          <cell r="E46" t="str">
            <v>Mud Pump (for 6" Dia. Oxfam Well Design)</v>
          </cell>
          <cell r="F46" t="str">
            <v>N</v>
          </cell>
          <cell r="H46">
            <v>2639.26</v>
          </cell>
          <cell r="I46">
            <v>0</v>
          </cell>
          <cell r="J46">
            <v>288</v>
          </cell>
          <cell r="K46">
            <v>0.67200000000000004</v>
          </cell>
          <cell r="L46">
            <v>0</v>
          </cell>
          <cell r="M46">
            <v>0</v>
          </cell>
          <cell r="N46">
            <v>128</v>
          </cell>
          <cell r="O46">
            <v>75</v>
          </cell>
          <cell r="P46">
            <v>70</v>
          </cell>
        </row>
        <row r="47">
          <cell r="B47" t="str">
            <v>B</v>
          </cell>
          <cell r="C47">
            <v>48105</v>
          </cell>
          <cell r="D47" t="str">
            <v>BMP8</v>
          </cell>
          <cell r="E47" t="str">
            <v>Mud Pump (for 8" Dia. Oxfam Well Design)</v>
          </cell>
          <cell r="F47" t="str">
            <v>N</v>
          </cell>
          <cell r="H47">
            <v>3450</v>
          </cell>
          <cell r="I47">
            <v>0</v>
          </cell>
          <cell r="J47">
            <v>70</v>
          </cell>
          <cell r="K47">
            <v>1.08</v>
          </cell>
          <cell r="L47">
            <v>0</v>
          </cell>
          <cell r="M47">
            <v>0</v>
          </cell>
          <cell r="N47">
            <v>30</v>
          </cell>
          <cell r="O47">
            <v>30</v>
          </cell>
          <cell r="P47">
            <v>1200</v>
          </cell>
        </row>
        <row r="48">
          <cell r="B48" t="str">
            <v>B</v>
          </cell>
          <cell r="C48">
            <v>48101</v>
          </cell>
          <cell r="D48" t="str">
            <v>BPC</v>
          </cell>
          <cell r="E48" t="str">
            <v>Progressive Cavity Borehole Kit</v>
          </cell>
          <cell r="F48" t="str">
            <v>N</v>
          </cell>
          <cell r="H48">
            <v>5061</v>
          </cell>
          <cell r="I48">
            <v>0</v>
          </cell>
          <cell r="J48">
            <v>98</v>
          </cell>
          <cell r="K48">
            <v>3.9020000000000001</v>
          </cell>
          <cell r="L48">
            <v>0</v>
          </cell>
          <cell r="M48">
            <v>0</v>
          </cell>
        </row>
        <row r="49">
          <cell r="B49" t="str">
            <v>B</v>
          </cell>
          <cell r="C49">
            <v>48101</v>
          </cell>
          <cell r="D49" t="str">
            <v>BPCR2</v>
          </cell>
          <cell r="E49" t="str">
            <v>2" Rising Column for Progressive Cavity</v>
          </cell>
          <cell r="F49" t="str">
            <v>N</v>
          </cell>
          <cell r="H49">
            <v>1972</v>
          </cell>
          <cell r="I49">
            <v>0</v>
          </cell>
          <cell r="J49">
            <v>790</v>
          </cell>
          <cell r="K49">
            <v>0.81</v>
          </cell>
          <cell r="L49">
            <v>0</v>
          </cell>
          <cell r="M49">
            <v>0</v>
          </cell>
          <cell r="N49">
            <v>0</v>
          </cell>
          <cell r="O49">
            <v>0</v>
          </cell>
          <cell r="P49">
            <v>0</v>
          </cell>
        </row>
        <row r="50">
          <cell r="B50" t="str">
            <v>B</v>
          </cell>
          <cell r="C50">
            <v>48119</v>
          </cell>
          <cell r="D50" t="str">
            <v>BPTR</v>
          </cell>
          <cell r="E50" t="str">
            <v>Rising Pipe for Pump Testing</v>
          </cell>
          <cell r="F50" t="str">
            <v>N</v>
          </cell>
          <cell r="I50">
            <v>0</v>
          </cell>
          <cell r="K50">
            <v>0</v>
          </cell>
          <cell r="L50">
            <v>0</v>
          </cell>
          <cell r="M50">
            <v>0</v>
          </cell>
        </row>
        <row r="51">
          <cell r="B51" t="str">
            <v>B</v>
          </cell>
          <cell r="C51">
            <v>48101</v>
          </cell>
          <cell r="D51" t="str">
            <v>BSP12</v>
          </cell>
          <cell r="E51" t="str">
            <v>12GS55 Lowara Submersible Pump</v>
          </cell>
          <cell r="F51" t="str">
            <v>N</v>
          </cell>
          <cell r="H51">
            <v>674</v>
          </cell>
          <cell r="I51">
            <v>0</v>
          </cell>
          <cell r="K51">
            <v>0</v>
          </cell>
          <cell r="L51">
            <v>0</v>
          </cell>
          <cell r="M51">
            <v>0</v>
          </cell>
        </row>
        <row r="52">
          <cell r="B52" t="str">
            <v>B</v>
          </cell>
          <cell r="C52">
            <v>48101</v>
          </cell>
          <cell r="D52" t="str">
            <v>BSP16</v>
          </cell>
          <cell r="E52" t="str">
            <v>16GS55 Lowara Submersible Pump</v>
          </cell>
          <cell r="F52" t="str">
            <v>N</v>
          </cell>
          <cell r="H52">
            <v>745</v>
          </cell>
          <cell r="I52">
            <v>0</v>
          </cell>
          <cell r="K52">
            <v>0</v>
          </cell>
          <cell r="L52">
            <v>0</v>
          </cell>
          <cell r="M52">
            <v>0</v>
          </cell>
        </row>
        <row r="53">
          <cell r="B53" t="str">
            <v>B</v>
          </cell>
          <cell r="C53">
            <v>48101</v>
          </cell>
          <cell r="D53" t="str">
            <v>BSP8</v>
          </cell>
          <cell r="E53" t="str">
            <v>8GS55 Lowara Submersible Pump</v>
          </cell>
          <cell r="F53" t="str">
            <v>N</v>
          </cell>
          <cell r="H53">
            <v>633</v>
          </cell>
          <cell r="I53">
            <v>0</v>
          </cell>
          <cell r="K53">
            <v>0</v>
          </cell>
          <cell r="L53">
            <v>0</v>
          </cell>
          <cell r="M53">
            <v>0</v>
          </cell>
        </row>
        <row r="54">
          <cell r="B54" t="str">
            <v>B</v>
          </cell>
          <cell r="C54">
            <v>48101</v>
          </cell>
          <cell r="D54" t="str">
            <v>BSPE</v>
          </cell>
          <cell r="E54" t="str">
            <v>Submersible Borehole Pump Electric Kit</v>
          </cell>
          <cell r="F54" t="str">
            <v>N</v>
          </cell>
          <cell r="H54">
            <v>12655</v>
          </cell>
          <cell r="I54">
            <v>0</v>
          </cell>
          <cell r="K54">
            <v>0</v>
          </cell>
          <cell r="L54">
            <v>0</v>
          </cell>
          <cell r="M54">
            <v>0</v>
          </cell>
        </row>
        <row r="55">
          <cell r="B55" t="str">
            <v>B</v>
          </cell>
          <cell r="C55">
            <v>48101</v>
          </cell>
          <cell r="D55" t="str">
            <v>BSPR2</v>
          </cell>
          <cell r="E55" t="str">
            <v>2" Rising Pipe for Electric Submersible (2 boxes)</v>
          </cell>
          <cell r="F55" t="str">
            <v>N</v>
          </cell>
          <cell r="H55">
            <v>985</v>
          </cell>
          <cell r="I55">
            <v>0</v>
          </cell>
          <cell r="J55">
            <v>586</v>
          </cell>
          <cell r="K55">
            <v>1.0502819999999999</v>
          </cell>
          <cell r="L55">
            <v>0</v>
          </cell>
          <cell r="M55">
            <v>0</v>
          </cell>
          <cell r="N55">
            <v>333</v>
          </cell>
          <cell r="O55">
            <v>83</v>
          </cell>
          <cell r="P55">
            <v>38</v>
          </cell>
        </row>
        <row r="56">
          <cell r="B56" t="str">
            <v>C</v>
          </cell>
          <cell r="C56">
            <v>48651</v>
          </cell>
          <cell r="D56" t="str">
            <v>CKB</v>
          </cell>
          <cell r="E56" t="str">
            <v>20 Knitted Blankets</v>
          </cell>
          <cell r="F56" t="str">
            <v>S</v>
          </cell>
          <cell r="H56">
            <v>0</v>
          </cell>
          <cell r="I56">
            <v>0</v>
          </cell>
          <cell r="J56">
            <v>22</v>
          </cell>
          <cell r="K56">
            <v>8.7984000000000007E-2</v>
          </cell>
          <cell r="L56">
            <v>0</v>
          </cell>
          <cell r="M56">
            <v>0</v>
          </cell>
          <cell r="N56">
            <v>72</v>
          </cell>
          <cell r="O56">
            <v>47</v>
          </cell>
          <cell r="P56">
            <v>26</v>
          </cell>
        </row>
        <row r="57">
          <cell r="B57" t="str">
            <v>C</v>
          </cell>
          <cell r="C57">
            <v>48650</v>
          </cell>
          <cell r="D57" t="str">
            <v>CKCC</v>
          </cell>
          <cell r="E57" t="str">
            <v>Childrens Cottons</v>
          </cell>
          <cell r="F57" t="str">
            <v>S</v>
          </cell>
          <cell r="H57">
            <v>0</v>
          </cell>
          <cell r="I57">
            <v>0</v>
          </cell>
          <cell r="J57">
            <v>22</v>
          </cell>
          <cell r="K57">
            <v>7.4880000000000002E-2</v>
          </cell>
          <cell r="L57">
            <v>0</v>
          </cell>
          <cell r="M57">
            <v>0</v>
          </cell>
          <cell r="N57">
            <v>60</v>
          </cell>
          <cell r="O57">
            <v>48</v>
          </cell>
          <cell r="P57">
            <v>26</v>
          </cell>
        </row>
        <row r="58">
          <cell r="B58" t="str">
            <v>C</v>
          </cell>
          <cell r="C58">
            <v>48650</v>
          </cell>
          <cell r="D58" t="str">
            <v>CKTR</v>
          </cell>
          <cell r="E58" t="str">
            <v>Regular Childrens Knitted Tops</v>
          </cell>
          <cell r="F58" t="str">
            <v>S</v>
          </cell>
          <cell r="H58">
            <v>0</v>
          </cell>
          <cell r="I58">
            <v>0</v>
          </cell>
          <cell r="J58">
            <v>22</v>
          </cell>
          <cell r="K58">
            <v>8.7984000000000007E-2</v>
          </cell>
          <cell r="L58">
            <v>0</v>
          </cell>
          <cell r="M58">
            <v>0</v>
          </cell>
          <cell r="N58">
            <v>72</v>
          </cell>
          <cell r="O58">
            <v>47</v>
          </cell>
          <cell r="P58">
            <v>26</v>
          </cell>
        </row>
        <row r="59">
          <cell r="B59" t="str">
            <v>C</v>
          </cell>
          <cell r="C59">
            <v>48650</v>
          </cell>
          <cell r="D59" t="str">
            <v>CKTS</v>
          </cell>
          <cell r="E59" t="str">
            <v>Small Childrens Knitted Tops</v>
          </cell>
          <cell r="F59" t="str">
            <v>S</v>
          </cell>
          <cell r="H59">
            <v>0</v>
          </cell>
          <cell r="I59">
            <v>0</v>
          </cell>
          <cell r="J59">
            <v>22</v>
          </cell>
          <cell r="K59">
            <v>8.7984000000000007E-2</v>
          </cell>
          <cell r="L59">
            <v>0</v>
          </cell>
          <cell r="M59">
            <v>0</v>
          </cell>
          <cell r="N59">
            <v>72</v>
          </cell>
          <cell r="O59">
            <v>47</v>
          </cell>
          <cell r="P59">
            <v>26</v>
          </cell>
        </row>
        <row r="60">
          <cell r="B60" t="str">
            <v>C</v>
          </cell>
          <cell r="C60">
            <v>48651</v>
          </cell>
          <cell r="D60" t="str">
            <v>CWB</v>
          </cell>
          <cell r="E60" t="str">
            <v>Woven Blanket</v>
          </cell>
          <cell r="F60" t="str">
            <v>N</v>
          </cell>
          <cell r="H60">
            <v>85.01</v>
          </cell>
          <cell r="I60">
            <v>0</v>
          </cell>
          <cell r="J60">
            <v>28</v>
          </cell>
          <cell r="K60">
            <v>0.17197599999999999</v>
          </cell>
          <cell r="L60">
            <v>0</v>
          </cell>
          <cell r="M60">
            <v>0</v>
          </cell>
          <cell r="N60">
            <v>83</v>
          </cell>
          <cell r="O60">
            <v>37</v>
          </cell>
          <cell r="P60">
            <v>56</v>
          </cell>
        </row>
        <row r="61">
          <cell r="B61" t="str">
            <v>C</v>
          </cell>
          <cell r="C61">
            <v>48650</v>
          </cell>
          <cell r="D61" t="str">
            <v>CWAC</v>
          </cell>
          <cell r="E61" t="str">
            <v>Cold Weather Second-Hand Adults' Coats**</v>
          </cell>
          <cell r="F61" t="str">
            <v>S</v>
          </cell>
          <cell r="H61">
            <v>0</v>
          </cell>
          <cell r="I61">
            <v>0</v>
          </cell>
          <cell r="J61">
            <v>50</v>
          </cell>
          <cell r="K61">
            <v>0.38169599999999998</v>
          </cell>
          <cell r="L61">
            <v>0</v>
          </cell>
          <cell r="M61">
            <v>0</v>
          </cell>
          <cell r="N61">
            <v>71</v>
          </cell>
          <cell r="O61">
            <v>56</v>
          </cell>
          <cell r="P61">
            <v>96</v>
          </cell>
        </row>
        <row r="62">
          <cell r="B62" t="str">
            <v>C</v>
          </cell>
          <cell r="C62">
            <v>48650</v>
          </cell>
          <cell r="D62" t="str">
            <v>CWCC</v>
          </cell>
          <cell r="E62" t="str">
            <v>Cold Weather Second-Hand Children's Coats**</v>
          </cell>
          <cell r="F62" t="str">
            <v>S</v>
          </cell>
          <cell r="I62">
            <v>0</v>
          </cell>
          <cell r="J62">
            <v>50</v>
          </cell>
          <cell r="K62">
            <v>0.38169599999999998</v>
          </cell>
          <cell r="L62">
            <v>0</v>
          </cell>
          <cell r="M62">
            <v>0</v>
          </cell>
          <cell r="N62">
            <v>71</v>
          </cell>
          <cell r="O62">
            <v>56</v>
          </cell>
          <cell r="P62">
            <v>96</v>
          </cell>
        </row>
        <row r="63">
          <cell r="B63" t="str">
            <v>C</v>
          </cell>
          <cell r="C63">
            <v>48650</v>
          </cell>
          <cell r="D63" t="str">
            <v>CWCJ</v>
          </cell>
          <cell r="E63" t="str">
            <v>Cold Weather Second-Hand Children's Jumpers**</v>
          </cell>
          <cell r="F63" t="str">
            <v>S</v>
          </cell>
          <cell r="I63">
            <v>0</v>
          </cell>
          <cell r="J63">
            <v>50</v>
          </cell>
          <cell r="K63">
            <v>0.38169599999999998</v>
          </cell>
          <cell r="L63">
            <v>0</v>
          </cell>
          <cell r="M63">
            <v>0</v>
          </cell>
          <cell r="N63">
            <v>71</v>
          </cell>
          <cell r="O63">
            <v>56</v>
          </cell>
          <cell r="P63">
            <v>96</v>
          </cell>
        </row>
        <row r="64">
          <cell r="B64" t="str">
            <v>D</v>
          </cell>
          <cell r="C64">
            <v>48123</v>
          </cell>
          <cell r="D64" t="str">
            <v>DA</v>
          </cell>
          <cell r="E64" t="str">
            <v>Distribution Adaptation Kit</v>
          </cell>
          <cell r="F64" t="str">
            <v>S</v>
          </cell>
          <cell r="H64">
            <v>495</v>
          </cell>
          <cell r="I64">
            <v>0</v>
          </cell>
          <cell r="J64">
            <v>68</v>
          </cell>
          <cell r="K64">
            <v>0.114576</v>
          </cell>
          <cell r="L64">
            <v>0</v>
          </cell>
          <cell r="M64">
            <v>0</v>
          </cell>
          <cell r="N64">
            <v>62</v>
          </cell>
          <cell r="O64">
            <v>42</v>
          </cell>
          <cell r="P64">
            <v>44</v>
          </cell>
        </row>
        <row r="65">
          <cell r="B65" t="str">
            <v>D</v>
          </cell>
          <cell r="C65">
            <v>48139</v>
          </cell>
          <cell r="D65" t="str">
            <v>DBW</v>
          </cell>
          <cell r="E65" t="str">
            <v>Butt Fusion Welding Machine for PE Pipe</v>
          </cell>
          <cell r="F65" t="str">
            <v>N</v>
          </cell>
          <cell r="G65">
            <v>1</v>
          </cell>
          <cell r="H65">
            <v>3260</v>
          </cell>
          <cell r="I65">
            <v>3260</v>
          </cell>
          <cell r="J65">
            <v>140</v>
          </cell>
          <cell r="K65">
            <v>0.41599999999999998</v>
          </cell>
          <cell r="L65">
            <v>140</v>
          </cell>
          <cell r="M65">
            <v>0.41599999999999998</v>
          </cell>
          <cell r="N65">
            <v>80</v>
          </cell>
          <cell r="O65">
            <v>65</v>
          </cell>
          <cell r="P65">
            <v>80</v>
          </cell>
        </row>
        <row r="66">
          <cell r="B66" t="str">
            <v>D</v>
          </cell>
          <cell r="C66">
            <v>48123</v>
          </cell>
          <cell r="D66" t="str">
            <v>DF2</v>
          </cell>
          <cell r="E66" t="str">
            <v>63mm (OD) Distribution Fittings Kit For PE &amp; uPVC</v>
          </cell>
          <cell r="F66" t="str">
            <v>S</v>
          </cell>
          <cell r="H66">
            <v>232.94739999999999</v>
          </cell>
          <cell r="I66">
            <v>0</v>
          </cell>
          <cell r="J66">
            <v>24</v>
          </cell>
          <cell r="K66">
            <v>0.114576</v>
          </cell>
          <cell r="L66">
            <v>0</v>
          </cell>
          <cell r="M66">
            <v>0</v>
          </cell>
          <cell r="N66">
            <v>62</v>
          </cell>
          <cell r="O66">
            <v>42</v>
          </cell>
          <cell r="P66">
            <v>44</v>
          </cell>
        </row>
        <row r="67">
          <cell r="B67" t="str">
            <v>D</v>
          </cell>
          <cell r="C67">
            <v>48123</v>
          </cell>
          <cell r="D67" t="str">
            <v>DF3</v>
          </cell>
          <cell r="E67" t="str">
            <v>90mm (OD) Distribution Fittings Kit for PE+UPVC P</v>
          </cell>
          <cell r="F67" t="str">
            <v>S</v>
          </cell>
          <cell r="G67">
            <v>2</v>
          </cell>
          <cell r="H67">
            <v>437.89</v>
          </cell>
          <cell r="I67">
            <v>875.78</v>
          </cell>
          <cell r="J67">
            <v>90</v>
          </cell>
          <cell r="K67">
            <v>0.44519999999999998</v>
          </cell>
          <cell r="L67">
            <v>180</v>
          </cell>
          <cell r="M67">
            <v>0.89039999999999997</v>
          </cell>
          <cell r="N67">
            <v>106</v>
          </cell>
          <cell r="O67">
            <v>105</v>
          </cell>
          <cell r="P67">
            <v>40</v>
          </cell>
        </row>
        <row r="68">
          <cell r="B68" t="str">
            <v>D</v>
          </cell>
          <cell r="C68">
            <v>48123</v>
          </cell>
          <cell r="D68" t="str">
            <v>DFU4</v>
          </cell>
          <cell r="E68" t="str">
            <v>4" Distribution Fittings Kit For uPVC Pipe</v>
          </cell>
          <cell r="F68" t="str">
            <v>N</v>
          </cell>
          <cell r="H68">
            <v>671.67</v>
          </cell>
          <cell r="I68">
            <v>0</v>
          </cell>
          <cell r="J68">
            <v>55</v>
          </cell>
          <cell r="K68">
            <v>0.40243200000000001</v>
          </cell>
          <cell r="L68">
            <v>0</v>
          </cell>
          <cell r="M68">
            <v>0</v>
          </cell>
          <cell r="N68">
            <v>131</v>
          </cell>
          <cell r="O68">
            <v>64</v>
          </cell>
          <cell r="P68">
            <v>48</v>
          </cell>
        </row>
        <row r="69">
          <cell r="B69" t="str">
            <v>D</v>
          </cell>
          <cell r="C69">
            <v>48123</v>
          </cell>
          <cell r="D69" t="str">
            <v>DFU6</v>
          </cell>
          <cell r="E69" t="str">
            <v>6" Distribution Fittings Kit for uPVC Pipe</v>
          </cell>
          <cell r="F69" t="str">
            <v>N</v>
          </cell>
          <cell r="H69">
            <v>1157</v>
          </cell>
          <cell r="I69">
            <v>0</v>
          </cell>
          <cell r="J69">
            <v>168</v>
          </cell>
          <cell r="K69">
            <v>1.0013639999999999</v>
          </cell>
          <cell r="L69">
            <v>0</v>
          </cell>
          <cell r="M69">
            <v>0</v>
          </cell>
          <cell r="N69">
            <v>131</v>
          </cell>
          <cell r="O69">
            <v>91</v>
          </cell>
          <cell r="P69">
            <v>84</v>
          </cell>
        </row>
        <row r="70">
          <cell r="B70" t="str">
            <v>D</v>
          </cell>
          <cell r="C70">
            <v>48123</v>
          </cell>
          <cell r="D70" t="str">
            <v>DLR</v>
          </cell>
          <cell r="E70" t="str">
            <v>Distribution Layflat/Rapid Fittings Kit</v>
          </cell>
          <cell r="F70" t="str">
            <v>S</v>
          </cell>
          <cell r="H70">
            <v>1220</v>
          </cell>
          <cell r="I70">
            <v>0</v>
          </cell>
          <cell r="J70">
            <v>199</v>
          </cell>
          <cell r="K70">
            <v>1.044225</v>
          </cell>
          <cell r="L70">
            <v>0</v>
          </cell>
          <cell r="M70">
            <v>0</v>
          </cell>
          <cell r="N70">
            <v>135</v>
          </cell>
          <cell r="O70">
            <v>91</v>
          </cell>
          <cell r="P70">
            <v>85</v>
          </cell>
        </row>
        <row r="71">
          <cell r="B71" t="str">
            <v>D</v>
          </cell>
          <cell r="C71">
            <v>48139</v>
          </cell>
          <cell r="D71" t="str">
            <v>DM1</v>
          </cell>
          <cell r="E71" t="str">
            <v>Lube for uPVC Pipe</v>
          </cell>
          <cell r="F71" t="str">
            <v>S</v>
          </cell>
          <cell r="H71">
            <v>2.9407999999999999</v>
          </cell>
          <cell r="I71">
            <v>0</v>
          </cell>
          <cell r="J71">
            <v>1</v>
          </cell>
          <cell r="K71">
            <v>2.4000000000000001E-5</v>
          </cell>
          <cell r="L71">
            <v>0</v>
          </cell>
          <cell r="M71">
            <v>0</v>
          </cell>
          <cell r="N71">
            <v>4</v>
          </cell>
          <cell r="O71">
            <v>3</v>
          </cell>
          <cell r="P71">
            <v>2</v>
          </cell>
        </row>
        <row r="72">
          <cell r="B72" t="str">
            <v>D</v>
          </cell>
          <cell r="C72">
            <v>48124</v>
          </cell>
          <cell r="D72" t="str">
            <v>DMP3</v>
          </cell>
          <cell r="E72" t="str">
            <v>90mm (OD) PE Distribution Main Kit, 500m in Coils</v>
          </cell>
          <cell r="F72" t="str">
            <v>N</v>
          </cell>
          <cell r="G72">
            <v>0.6</v>
          </cell>
          <cell r="H72">
            <v>1600</v>
          </cell>
          <cell r="I72">
            <v>960</v>
          </cell>
          <cell r="J72">
            <v>1100</v>
          </cell>
          <cell r="K72">
            <v>11.875</v>
          </cell>
          <cell r="L72">
            <v>660</v>
          </cell>
          <cell r="M72">
            <v>7.125</v>
          </cell>
          <cell r="N72">
            <v>250</v>
          </cell>
          <cell r="O72">
            <v>250</v>
          </cell>
          <cell r="P72">
            <v>190</v>
          </cell>
        </row>
        <row r="73">
          <cell r="B73" t="str">
            <v>D</v>
          </cell>
          <cell r="C73">
            <v>48124</v>
          </cell>
          <cell r="D73" t="str">
            <v>DMU3</v>
          </cell>
          <cell r="E73" t="str">
            <v>90mm (OD) uPVC Distribution Main Kit 500M</v>
          </cell>
          <cell r="F73" t="str">
            <v>S</v>
          </cell>
          <cell r="H73">
            <v>685.44</v>
          </cell>
          <cell r="I73">
            <v>0</v>
          </cell>
          <cell r="J73">
            <v>668</v>
          </cell>
          <cell r="K73">
            <v>7.0857599999999996</v>
          </cell>
          <cell r="L73">
            <v>0</v>
          </cell>
          <cell r="M73">
            <v>0</v>
          </cell>
          <cell r="N73">
            <v>122</v>
          </cell>
          <cell r="O73">
            <v>440</v>
          </cell>
          <cell r="P73">
            <v>132</v>
          </cell>
        </row>
        <row r="74">
          <cell r="B74" t="str">
            <v>D</v>
          </cell>
          <cell r="C74">
            <v>48124</v>
          </cell>
          <cell r="D74" t="str">
            <v>DMU4</v>
          </cell>
          <cell r="E74" t="str">
            <v>110mm (OD) HEP3O Distribution Main Kit,500m</v>
          </cell>
          <cell r="F74" t="str">
            <v>N</v>
          </cell>
          <cell r="H74">
            <v>1643.04</v>
          </cell>
          <cell r="I74">
            <v>0</v>
          </cell>
          <cell r="J74">
            <v>861</v>
          </cell>
          <cell r="K74">
            <v>10.836</v>
          </cell>
          <cell r="L74">
            <v>0</v>
          </cell>
          <cell r="M74">
            <v>0</v>
          </cell>
          <cell r="N74">
            <v>120</v>
          </cell>
          <cell r="O74">
            <v>210</v>
          </cell>
          <cell r="P74">
            <v>430</v>
          </cell>
        </row>
        <row r="75">
          <cell r="B75" t="str">
            <v>D</v>
          </cell>
          <cell r="C75">
            <v>48124</v>
          </cell>
          <cell r="D75" t="str">
            <v>DMU6</v>
          </cell>
          <cell r="E75" t="str">
            <v>160mm (OD) HEP3O Distribution Main Kit, 500m</v>
          </cell>
          <cell r="F75" t="str">
            <v>N</v>
          </cell>
          <cell r="H75">
            <v>2935.8</v>
          </cell>
          <cell r="I75">
            <v>0</v>
          </cell>
          <cell r="J75">
            <v>557</v>
          </cell>
          <cell r="K75">
            <v>2.94</v>
          </cell>
          <cell r="L75">
            <v>0</v>
          </cell>
          <cell r="M75">
            <v>0</v>
          </cell>
          <cell r="N75">
            <v>100</v>
          </cell>
          <cell r="O75">
            <v>70</v>
          </cell>
          <cell r="P75">
            <v>420</v>
          </cell>
        </row>
        <row r="76">
          <cell r="H76">
            <v>2935.8</v>
          </cell>
          <cell r="I76">
            <v>0</v>
          </cell>
          <cell r="J76">
            <v>557</v>
          </cell>
          <cell r="K76">
            <v>2.94</v>
          </cell>
          <cell r="L76">
            <v>0</v>
          </cell>
          <cell r="M76">
            <v>0</v>
          </cell>
          <cell r="N76">
            <v>100</v>
          </cell>
          <cell r="O76">
            <v>70</v>
          </cell>
          <cell r="P76">
            <v>420</v>
          </cell>
        </row>
        <row r="77">
          <cell r="B77" t="str">
            <v>D</v>
          </cell>
          <cell r="C77">
            <v>48120</v>
          </cell>
          <cell r="D77" t="str">
            <v>DP</v>
          </cell>
          <cell r="E77" t="str">
            <v>32mm (OD) PE Distribution Pipe, 50m</v>
          </cell>
          <cell r="F77" t="str">
            <v>S</v>
          </cell>
          <cell r="G77">
            <v>14</v>
          </cell>
          <cell r="H77">
            <v>14</v>
          </cell>
          <cell r="I77">
            <v>196</v>
          </cell>
          <cell r="J77">
            <v>14</v>
          </cell>
          <cell r="K77">
            <v>0.19</v>
          </cell>
          <cell r="L77">
            <v>196</v>
          </cell>
          <cell r="M77">
            <v>2.66</v>
          </cell>
          <cell r="N77">
            <v>100</v>
          </cell>
          <cell r="O77">
            <v>100</v>
          </cell>
          <cell r="P77">
            <v>19</v>
          </cell>
        </row>
        <row r="78">
          <cell r="B78" t="str">
            <v>D</v>
          </cell>
          <cell r="C78">
            <v>48120</v>
          </cell>
          <cell r="D78" t="str">
            <v>DPP2</v>
          </cell>
          <cell r="E78" t="str">
            <v>Complete Kit - 63mm distribution pipe &amp; coupler</v>
          </cell>
          <cell r="F78" t="str">
            <v>S</v>
          </cell>
          <cell r="H78">
            <v>59.49</v>
          </cell>
          <cell r="I78">
            <v>0</v>
          </cell>
          <cell r="J78">
            <v>53</v>
          </cell>
          <cell r="K78">
            <v>0.54910000000000003</v>
          </cell>
          <cell r="L78">
            <v>0</v>
          </cell>
          <cell r="M78">
            <v>0</v>
          </cell>
          <cell r="N78">
            <v>170</v>
          </cell>
          <cell r="O78">
            <v>19</v>
          </cell>
          <cell r="P78">
            <v>170</v>
          </cell>
        </row>
        <row r="79">
          <cell r="B79" t="str">
            <v>D</v>
          </cell>
          <cell r="C79">
            <v>48121</v>
          </cell>
          <cell r="D79" t="str">
            <v>DS</v>
          </cell>
          <cell r="E79" t="str">
            <v>Distribution Tapstand (1" Galvinised Pipe)</v>
          </cell>
          <cell r="F79" t="str">
            <v>S</v>
          </cell>
          <cell r="G79">
            <v>13</v>
          </cell>
          <cell r="H79">
            <v>181.35</v>
          </cell>
          <cell r="I79">
            <v>2357.5499999999997</v>
          </cell>
          <cell r="J79">
            <v>30</v>
          </cell>
          <cell r="K79">
            <v>4.1106999999999998E-2</v>
          </cell>
          <cell r="L79">
            <v>390</v>
          </cell>
          <cell r="M79">
            <v>0.53439099999999995</v>
          </cell>
          <cell r="N79">
            <v>11</v>
          </cell>
          <cell r="O79">
            <v>101</v>
          </cell>
          <cell r="P79">
            <v>37</v>
          </cell>
        </row>
        <row r="80">
          <cell r="B80" t="str">
            <v>D</v>
          </cell>
          <cell r="C80">
            <v>48121</v>
          </cell>
          <cell r="D80" t="str">
            <v>DSC</v>
          </cell>
          <cell r="E80" t="str">
            <v>Distribution Tapstand - Conversion Kit</v>
          </cell>
          <cell r="F80" t="str">
            <v>S</v>
          </cell>
          <cell r="H80">
            <v>19.54</v>
          </cell>
          <cell r="I80">
            <v>0</v>
          </cell>
          <cell r="J80">
            <v>6</v>
          </cell>
          <cell r="K80">
            <v>1.35E-2</v>
          </cell>
          <cell r="L80">
            <v>0</v>
          </cell>
          <cell r="N80">
            <v>15</v>
          </cell>
          <cell r="O80">
            <v>30</v>
          </cell>
          <cell r="P80">
            <v>30</v>
          </cell>
        </row>
        <row r="81">
          <cell r="B81" t="str">
            <v>D</v>
          </cell>
          <cell r="C81">
            <v>48122</v>
          </cell>
          <cell r="D81" t="str">
            <v>DV</v>
          </cell>
          <cell r="E81" t="str">
            <v>Water Tap 3/4" Talflo Valve</v>
          </cell>
          <cell r="F81" t="str">
            <v>S</v>
          </cell>
          <cell r="H81">
            <v>8.0500000000000007</v>
          </cell>
          <cell r="I81">
            <v>0</v>
          </cell>
          <cell r="J81">
            <v>1</v>
          </cell>
          <cell r="K81">
            <v>1.0000000000000001E-5</v>
          </cell>
          <cell r="L81">
            <v>0</v>
          </cell>
          <cell r="M81">
            <v>0</v>
          </cell>
          <cell r="N81">
            <v>10</v>
          </cell>
          <cell r="O81">
            <v>1</v>
          </cell>
          <cell r="P81">
            <v>1</v>
          </cell>
        </row>
        <row r="82">
          <cell r="B82" t="str">
            <v>F</v>
          </cell>
          <cell r="C82">
            <v>48144</v>
          </cell>
          <cell r="D82" t="str">
            <v>FAS</v>
          </cell>
          <cell r="E82" t="str">
            <v>Aluminium Sulphate (500kg)</v>
          </cell>
          <cell r="F82" t="str">
            <v>S</v>
          </cell>
          <cell r="H82">
            <v>92.5</v>
          </cell>
          <cell r="I82">
            <v>0</v>
          </cell>
          <cell r="J82">
            <v>525</v>
          </cell>
          <cell r="K82">
            <v>0.87717599999999996</v>
          </cell>
          <cell r="L82">
            <v>0</v>
          </cell>
          <cell r="M82">
            <v>0</v>
          </cell>
          <cell r="N82">
            <v>131</v>
          </cell>
          <cell r="O82">
            <v>108</v>
          </cell>
          <cell r="P82">
            <v>62</v>
          </cell>
        </row>
        <row r="83">
          <cell r="B83" t="str">
            <v>F</v>
          </cell>
          <cell r="C83">
            <v>48143</v>
          </cell>
          <cell r="D83" t="str">
            <v>FASD</v>
          </cell>
          <cell r="E83" t="str">
            <v>Alum Suction Side Dosing Kit</v>
          </cell>
          <cell r="F83" t="str">
            <v>S</v>
          </cell>
          <cell r="H83">
            <v>529.88</v>
          </cell>
          <cell r="I83">
            <v>0</v>
          </cell>
          <cell r="J83">
            <v>84</v>
          </cell>
          <cell r="K83">
            <v>0.51893999999999996</v>
          </cell>
          <cell r="L83">
            <v>0</v>
          </cell>
          <cell r="M83">
            <v>0</v>
          </cell>
          <cell r="N83">
            <v>62</v>
          </cell>
          <cell r="O83">
            <v>62</v>
          </cell>
          <cell r="P83">
            <v>135</v>
          </cell>
        </row>
        <row r="84">
          <cell r="B84" t="str">
            <v>F</v>
          </cell>
          <cell r="C84">
            <v>48144</v>
          </cell>
          <cell r="D84" t="str">
            <v>FBR</v>
          </cell>
          <cell r="E84" t="str">
            <v>M-FC Broth for Delagua Water Testing Kit*</v>
          </cell>
          <cell r="F84" t="str">
            <v>S</v>
          </cell>
          <cell r="H84">
            <v>1.02</v>
          </cell>
          <cell r="I84">
            <v>0</v>
          </cell>
          <cell r="J84">
            <v>0.2</v>
          </cell>
          <cell r="K84">
            <v>1E-3</v>
          </cell>
          <cell r="L84">
            <v>0</v>
          </cell>
          <cell r="M84">
            <v>0</v>
          </cell>
          <cell r="N84">
            <v>10</v>
          </cell>
          <cell r="O84">
            <v>10</v>
          </cell>
          <cell r="P84">
            <v>10</v>
          </cell>
        </row>
        <row r="85">
          <cell r="B85" t="str">
            <v>F</v>
          </cell>
          <cell r="C85">
            <v>48143</v>
          </cell>
          <cell r="D85" t="str">
            <v>FCCD</v>
          </cell>
          <cell r="E85" t="str">
            <v>Chlorine Constant Rate Dosing Kit</v>
          </cell>
          <cell r="F85" t="str">
            <v>S</v>
          </cell>
          <cell r="H85">
            <v>318</v>
          </cell>
          <cell r="I85">
            <v>0</v>
          </cell>
          <cell r="J85">
            <v>35</v>
          </cell>
          <cell r="K85">
            <v>0.33600000000000002</v>
          </cell>
          <cell r="L85">
            <v>0</v>
          </cell>
          <cell r="M85">
            <v>0</v>
          </cell>
          <cell r="N85">
            <v>100</v>
          </cell>
          <cell r="O85">
            <v>56</v>
          </cell>
          <cell r="P85">
            <v>60</v>
          </cell>
        </row>
        <row r="86">
          <cell r="B86" t="str">
            <v>F</v>
          </cell>
          <cell r="C86">
            <v>48144</v>
          </cell>
          <cell r="D86" t="str">
            <v>FCH</v>
          </cell>
          <cell r="E86" t="str">
            <v>HTH Chlorine Powder</v>
          </cell>
          <cell r="F86" t="str">
            <v>N</v>
          </cell>
          <cell r="H86">
            <v>13.9</v>
          </cell>
          <cell r="I86">
            <v>0</v>
          </cell>
          <cell r="J86">
            <v>11</v>
          </cell>
          <cell r="K86">
            <v>1.7999999999999999E-2</v>
          </cell>
          <cell r="L86">
            <v>0</v>
          </cell>
          <cell r="M86">
            <v>0</v>
          </cell>
          <cell r="N86">
            <v>30</v>
          </cell>
          <cell r="O86">
            <v>20</v>
          </cell>
          <cell r="P86">
            <v>30</v>
          </cell>
        </row>
        <row r="87">
          <cell r="B87" t="str">
            <v>F</v>
          </cell>
          <cell r="C87">
            <v>48144</v>
          </cell>
          <cell r="D87" t="str">
            <v>FCT</v>
          </cell>
          <cell r="E87" t="str">
            <v>Chlorine Tablets (Trichloroisocyanuric Acid)</v>
          </cell>
          <cell r="F87" t="str">
            <v>S</v>
          </cell>
          <cell r="H87">
            <v>19</v>
          </cell>
          <cell r="I87">
            <v>0</v>
          </cell>
          <cell r="J87">
            <v>12</v>
          </cell>
          <cell r="K87">
            <v>1.9375E-2</v>
          </cell>
          <cell r="L87">
            <v>0</v>
          </cell>
          <cell r="M87">
            <v>0</v>
          </cell>
          <cell r="N87">
            <v>25</v>
          </cell>
          <cell r="O87">
            <v>31</v>
          </cell>
          <cell r="P87">
            <v>25</v>
          </cell>
        </row>
        <row r="88">
          <cell r="B88" t="str">
            <v>F</v>
          </cell>
          <cell r="C88">
            <v>48144</v>
          </cell>
          <cell r="D88" t="str">
            <v>FD1</v>
          </cell>
          <cell r="E88" t="str">
            <v>DPD1 Water Testing Tablets*</v>
          </cell>
          <cell r="F88" t="str">
            <v>S</v>
          </cell>
          <cell r="H88">
            <v>9.4</v>
          </cell>
          <cell r="I88">
            <v>0</v>
          </cell>
          <cell r="J88">
            <v>0.1</v>
          </cell>
          <cell r="K88">
            <v>5.2800000000000004E-4</v>
          </cell>
          <cell r="L88">
            <v>0</v>
          </cell>
          <cell r="M88">
            <v>0</v>
          </cell>
          <cell r="N88">
            <v>11</v>
          </cell>
          <cell r="O88">
            <v>8</v>
          </cell>
          <cell r="P88">
            <v>6</v>
          </cell>
        </row>
        <row r="89">
          <cell r="B89" t="str">
            <v>F</v>
          </cell>
          <cell r="C89">
            <v>48144</v>
          </cell>
          <cell r="D89" t="str">
            <v>FD3</v>
          </cell>
          <cell r="E89" t="str">
            <v>DPD3 Water Testing Tablets*</v>
          </cell>
          <cell r="F89" t="str">
            <v>S</v>
          </cell>
          <cell r="H89">
            <v>10</v>
          </cell>
          <cell r="I89">
            <v>0</v>
          </cell>
          <cell r="J89">
            <v>0.1</v>
          </cell>
          <cell r="K89">
            <v>5.2800000000000004E-4</v>
          </cell>
          <cell r="L89">
            <v>0</v>
          </cell>
          <cell r="N89">
            <v>11</v>
          </cell>
          <cell r="O89">
            <v>8</v>
          </cell>
          <cell r="P89">
            <v>6</v>
          </cell>
        </row>
        <row r="90">
          <cell r="B90" t="str">
            <v>F</v>
          </cell>
          <cell r="C90">
            <v>48143</v>
          </cell>
          <cell r="D90" t="str">
            <v>FDO</v>
          </cell>
          <cell r="E90" t="str">
            <v>Chlorine/Aluminium Sulphate Dosing Pump</v>
          </cell>
          <cell r="F90" t="str">
            <v>N</v>
          </cell>
          <cell r="H90">
            <v>2736.8</v>
          </cell>
          <cell r="I90">
            <v>0</v>
          </cell>
          <cell r="J90">
            <v>75</v>
          </cell>
          <cell r="K90">
            <v>0.75</v>
          </cell>
          <cell r="L90">
            <v>0</v>
          </cell>
          <cell r="M90">
            <v>0</v>
          </cell>
          <cell r="N90">
            <v>100</v>
          </cell>
          <cell r="O90">
            <v>50</v>
          </cell>
          <cell r="P90">
            <v>150</v>
          </cell>
        </row>
        <row r="91">
          <cell r="B91" t="str">
            <v>F</v>
          </cell>
          <cell r="C91">
            <v>48146</v>
          </cell>
          <cell r="D91" t="str">
            <v>FDS</v>
          </cell>
          <cell r="E91" t="str">
            <v>TDS Conductivity Meter*</v>
          </cell>
          <cell r="F91" t="str">
            <v>S</v>
          </cell>
          <cell r="H91">
            <v>48.03</v>
          </cell>
          <cell r="I91">
            <v>0</v>
          </cell>
          <cell r="J91">
            <v>0.3</v>
          </cell>
          <cell r="K91">
            <v>5.7600000000000001E-4</v>
          </cell>
          <cell r="L91">
            <v>0</v>
          </cell>
          <cell r="M91">
            <v>0</v>
          </cell>
          <cell r="N91">
            <v>16</v>
          </cell>
          <cell r="O91">
            <v>9</v>
          </cell>
          <cell r="P91">
            <v>4</v>
          </cell>
        </row>
        <row r="92">
          <cell r="B92" t="str">
            <v>F</v>
          </cell>
          <cell r="C92">
            <v>48144</v>
          </cell>
          <cell r="D92" t="str">
            <v>FEG</v>
          </cell>
          <cell r="E92" t="str">
            <v>Electrolytic Sodium Hypochlorite Generator</v>
          </cell>
          <cell r="F92" t="str">
            <v>N</v>
          </cell>
          <cell r="H92">
            <v>3800.35</v>
          </cell>
          <cell r="I92">
            <v>0</v>
          </cell>
          <cell r="J92">
            <v>93</v>
          </cell>
          <cell r="K92">
            <v>0.52200000000000002</v>
          </cell>
          <cell r="L92">
            <v>0</v>
          </cell>
          <cell r="M92">
            <v>0</v>
          </cell>
          <cell r="N92">
            <v>60</v>
          </cell>
          <cell r="O92">
            <v>145</v>
          </cell>
          <cell r="P92">
            <v>60</v>
          </cell>
        </row>
        <row r="93">
          <cell r="B93" t="str">
            <v>F</v>
          </cell>
          <cell r="C93">
            <v>48140</v>
          </cell>
          <cell r="D93" t="str">
            <v>FF</v>
          </cell>
          <cell r="E93" t="str">
            <v>Slow Sand Filtration Kit</v>
          </cell>
          <cell r="F93" t="str">
            <v>S</v>
          </cell>
          <cell r="H93">
            <v>4368.25</v>
          </cell>
          <cell r="I93">
            <v>0</v>
          </cell>
          <cell r="J93">
            <v>389</v>
          </cell>
          <cell r="K93">
            <v>3.0479400000000001</v>
          </cell>
          <cell r="L93">
            <v>0</v>
          </cell>
          <cell r="M93">
            <v>0</v>
          </cell>
          <cell r="N93">
            <v>236</v>
          </cell>
          <cell r="O93">
            <v>123</v>
          </cell>
          <cell r="P93">
            <v>105</v>
          </cell>
        </row>
        <row r="94">
          <cell r="B94" t="str">
            <v>F</v>
          </cell>
          <cell r="C94">
            <v>48146</v>
          </cell>
          <cell r="D94" t="str">
            <v>FFP</v>
          </cell>
          <cell r="E94" t="str">
            <v>Floating Pot Chlorinator Kit</v>
          </cell>
          <cell r="F94" t="str">
            <v>S</v>
          </cell>
          <cell r="H94">
            <v>48.04</v>
          </cell>
          <cell r="I94">
            <v>0</v>
          </cell>
          <cell r="J94">
            <v>2</v>
          </cell>
          <cell r="K94">
            <v>3.7440000000000001E-2</v>
          </cell>
          <cell r="L94">
            <v>0</v>
          </cell>
          <cell r="M94">
            <v>0</v>
          </cell>
          <cell r="N94">
            <v>40</v>
          </cell>
          <cell r="O94">
            <v>26</v>
          </cell>
          <cell r="P94">
            <v>36</v>
          </cell>
        </row>
        <row r="95">
          <cell r="B95" t="str">
            <v>F</v>
          </cell>
          <cell r="C95">
            <v>48144</v>
          </cell>
          <cell r="D95" t="str">
            <v>FGP</v>
          </cell>
          <cell r="E95" t="str">
            <v>Gelman Absorbent Pads*</v>
          </cell>
          <cell r="F95" t="str">
            <v>S</v>
          </cell>
          <cell r="H95">
            <v>20</v>
          </cell>
          <cell r="I95">
            <v>0</v>
          </cell>
          <cell r="J95">
            <v>0.1</v>
          </cell>
          <cell r="K95">
            <v>6.9300000000000004E-4</v>
          </cell>
          <cell r="L95">
            <v>0</v>
          </cell>
          <cell r="M95">
            <v>0</v>
          </cell>
          <cell r="N95">
            <v>11</v>
          </cell>
          <cell r="O95">
            <v>9</v>
          </cell>
          <cell r="P95">
            <v>7</v>
          </cell>
        </row>
        <row r="96">
          <cell r="B96" t="str">
            <v>F</v>
          </cell>
          <cell r="C96">
            <v>48144</v>
          </cell>
          <cell r="D96" t="str">
            <v>FHF</v>
          </cell>
          <cell r="E96" t="str">
            <v>Ceramic Candle Household Filters</v>
          </cell>
          <cell r="F96" t="str">
            <v>S</v>
          </cell>
          <cell r="H96">
            <v>1200</v>
          </cell>
          <cell r="I96">
            <v>0</v>
          </cell>
          <cell r="J96">
            <v>212</v>
          </cell>
          <cell r="K96">
            <v>1.8</v>
          </cell>
          <cell r="L96">
            <v>0</v>
          </cell>
          <cell r="N96">
            <v>120</v>
          </cell>
          <cell r="O96">
            <v>100</v>
          </cell>
          <cell r="P96">
            <v>150</v>
          </cell>
        </row>
        <row r="97">
          <cell r="B97" t="str">
            <v>F</v>
          </cell>
          <cell r="C97">
            <v>48141</v>
          </cell>
          <cell r="D97" t="str">
            <v>FK</v>
          </cell>
          <cell r="E97" t="str">
            <v>Delagua Water Testing Kit - 240v</v>
          </cell>
          <cell r="F97" t="str">
            <v>S</v>
          </cell>
          <cell r="G97">
            <v>2</v>
          </cell>
          <cell r="H97">
            <v>1086.8</v>
          </cell>
          <cell r="I97">
            <v>2173.6</v>
          </cell>
          <cell r="J97">
            <v>15</v>
          </cell>
          <cell r="K97">
            <v>7.9523999999999997E-2</v>
          </cell>
          <cell r="L97">
            <v>30</v>
          </cell>
          <cell r="M97">
            <v>0.15904799999999999</v>
          </cell>
          <cell r="N97">
            <v>47</v>
          </cell>
          <cell r="O97">
            <v>47</v>
          </cell>
          <cell r="P97">
            <v>36</v>
          </cell>
        </row>
        <row r="98">
          <cell r="B98" t="str">
            <v>F</v>
          </cell>
          <cell r="C98">
            <v>48141</v>
          </cell>
          <cell r="D98" t="str">
            <v>FK10</v>
          </cell>
          <cell r="E98" t="str">
            <v>Delagua Water Testing Kit 110v</v>
          </cell>
          <cell r="F98" t="str">
            <v>S</v>
          </cell>
          <cell r="H98">
            <v>1086.17</v>
          </cell>
          <cell r="I98">
            <v>0</v>
          </cell>
          <cell r="J98">
            <v>15</v>
          </cell>
          <cell r="K98">
            <v>0.108241</v>
          </cell>
          <cell r="L98">
            <v>0</v>
          </cell>
          <cell r="M98">
            <v>0</v>
          </cell>
          <cell r="N98">
            <v>47</v>
          </cell>
          <cell r="O98">
            <v>47</v>
          </cell>
          <cell r="P98">
            <v>49</v>
          </cell>
        </row>
        <row r="99">
          <cell r="B99" t="str">
            <v>F</v>
          </cell>
          <cell r="C99">
            <v>48144</v>
          </cell>
          <cell r="D99" t="str">
            <v>FKC</v>
          </cell>
          <cell r="E99" t="str">
            <v>Consumables For Delagua Water Testing Kit*</v>
          </cell>
          <cell r="F99" t="str">
            <v>S</v>
          </cell>
          <cell r="G99">
            <v>2</v>
          </cell>
          <cell r="H99">
            <v>64.3</v>
          </cell>
          <cell r="I99">
            <v>128.6</v>
          </cell>
          <cell r="J99">
            <v>2</v>
          </cell>
          <cell r="K99">
            <v>2.2799999999999999E-3</v>
          </cell>
          <cell r="L99">
            <v>4</v>
          </cell>
          <cell r="M99">
            <v>4.5599999999999998E-3</v>
          </cell>
          <cell r="N99">
            <v>19</v>
          </cell>
          <cell r="O99">
            <v>5</v>
          </cell>
          <cell r="P99">
            <v>24</v>
          </cell>
        </row>
        <row r="100">
          <cell r="B100" t="str">
            <v>F</v>
          </cell>
          <cell r="C100">
            <v>48144</v>
          </cell>
          <cell r="D100" t="str">
            <v>FMF</v>
          </cell>
          <cell r="E100" t="str">
            <v>Microfiltration Membrane for Protazoa Removal</v>
          </cell>
          <cell r="F100" t="str">
            <v>N</v>
          </cell>
          <cell r="I100">
            <v>0</v>
          </cell>
          <cell r="K100">
            <v>0</v>
          </cell>
          <cell r="L100">
            <v>0</v>
          </cell>
          <cell r="M100">
            <v>0</v>
          </cell>
        </row>
        <row r="101">
          <cell r="B101" t="str">
            <v>F</v>
          </cell>
          <cell r="C101">
            <v>48146</v>
          </cell>
          <cell r="D101" t="str">
            <v>FMT</v>
          </cell>
          <cell r="E101" t="str">
            <v>Measuring &amp; Testing Kit</v>
          </cell>
          <cell r="F101" t="str">
            <v>S</v>
          </cell>
          <cell r="H101">
            <v>439.81</v>
          </cell>
          <cell r="I101">
            <v>0</v>
          </cell>
          <cell r="J101">
            <v>17</v>
          </cell>
          <cell r="K101">
            <v>0.113568</v>
          </cell>
          <cell r="L101">
            <v>0</v>
          </cell>
          <cell r="M101">
            <v>0</v>
          </cell>
          <cell r="N101">
            <v>56</v>
          </cell>
          <cell r="O101">
            <v>39</v>
          </cell>
          <cell r="P101">
            <v>52</v>
          </cell>
        </row>
        <row r="102">
          <cell r="B102" t="str">
            <v>F</v>
          </cell>
          <cell r="C102">
            <v>48145</v>
          </cell>
          <cell r="D102" t="str">
            <v>FPO</v>
          </cell>
          <cell r="E102" t="str">
            <v>Pooltester for Chlorine/pH Testing*</v>
          </cell>
          <cell r="F102" t="str">
            <v>S</v>
          </cell>
          <cell r="H102">
            <v>9.9</v>
          </cell>
          <cell r="I102">
            <v>0</v>
          </cell>
          <cell r="J102">
            <v>0.3</v>
          </cell>
          <cell r="K102">
            <v>5.0000000000000001E-4</v>
          </cell>
          <cell r="L102">
            <v>0</v>
          </cell>
          <cell r="M102">
            <v>0</v>
          </cell>
          <cell r="N102">
            <v>10</v>
          </cell>
          <cell r="O102">
            <v>5</v>
          </cell>
          <cell r="P102">
            <v>10</v>
          </cell>
        </row>
        <row r="103">
          <cell r="B103" t="str">
            <v>F</v>
          </cell>
          <cell r="C103">
            <v>48144</v>
          </cell>
          <cell r="D103" t="str">
            <v>FPR</v>
          </cell>
          <cell r="E103" t="str">
            <v>Phenol Red Tablets*</v>
          </cell>
          <cell r="F103" t="str">
            <v>S</v>
          </cell>
          <cell r="H103">
            <v>10</v>
          </cell>
          <cell r="I103">
            <v>0</v>
          </cell>
          <cell r="J103">
            <v>0.1</v>
          </cell>
          <cell r="K103">
            <v>5.2800000000000004E-4</v>
          </cell>
          <cell r="L103">
            <v>0</v>
          </cell>
          <cell r="M103">
            <v>0</v>
          </cell>
          <cell r="N103">
            <v>11</v>
          </cell>
          <cell r="O103">
            <v>8</v>
          </cell>
          <cell r="P103">
            <v>6</v>
          </cell>
        </row>
        <row r="104">
          <cell r="B104" t="str">
            <v>F</v>
          </cell>
          <cell r="C104">
            <v>48144</v>
          </cell>
          <cell r="D104" t="str">
            <v>FPU</v>
          </cell>
          <cell r="E104" t="str">
            <v>14/20 Litre Water Disinfection Tablets</v>
          </cell>
          <cell r="F104" t="str">
            <v>S</v>
          </cell>
          <cell r="H104">
            <v>397.8</v>
          </cell>
          <cell r="I104">
            <v>0</v>
          </cell>
          <cell r="J104">
            <v>16</v>
          </cell>
          <cell r="K104">
            <v>0.10816000000000001</v>
          </cell>
          <cell r="L104">
            <v>0</v>
          </cell>
          <cell r="M104">
            <v>0</v>
          </cell>
          <cell r="N104">
            <v>40</v>
          </cell>
          <cell r="O104">
            <v>52</v>
          </cell>
          <cell r="P104">
            <v>52</v>
          </cell>
        </row>
        <row r="105">
          <cell r="B105" t="str">
            <v>F</v>
          </cell>
          <cell r="C105">
            <v>48144</v>
          </cell>
          <cell r="D105" t="str">
            <v>FRF</v>
          </cell>
          <cell r="E105" t="str">
            <v>Roughing Filter for T11 Tank</v>
          </cell>
          <cell r="F105" t="str">
            <v>S</v>
          </cell>
          <cell r="H105">
            <v>1713</v>
          </cell>
          <cell r="I105">
            <v>0</v>
          </cell>
          <cell r="J105">
            <v>258</v>
          </cell>
          <cell r="K105">
            <v>1.3280400000000001</v>
          </cell>
          <cell r="L105">
            <v>0</v>
          </cell>
          <cell r="M105">
            <v>0</v>
          </cell>
          <cell r="N105">
            <v>140</v>
          </cell>
          <cell r="O105">
            <v>93</v>
          </cell>
          <cell r="P105">
            <v>102</v>
          </cell>
        </row>
        <row r="106">
          <cell r="B106" t="str">
            <v>F</v>
          </cell>
          <cell r="C106">
            <v>48144</v>
          </cell>
          <cell r="D106" t="str">
            <v>FSB</v>
          </cell>
          <cell r="E106" t="str">
            <v>Lauryl Sulphate Broth*</v>
          </cell>
          <cell r="F106" t="str">
            <v>S</v>
          </cell>
          <cell r="H106">
            <v>4.5</v>
          </cell>
          <cell r="I106">
            <v>0</v>
          </cell>
          <cell r="J106">
            <v>0.1</v>
          </cell>
          <cell r="K106">
            <v>4.4099999999999999E-4</v>
          </cell>
          <cell r="L106">
            <v>0</v>
          </cell>
          <cell r="M106">
            <v>0</v>
          </cell>
          <cell r="N106">
            <v>9</v>
          </cell>
          <cell r="O106">
            <v>7</v>
          </cell>
          <cell r="P106">
            <v>7</v>
          </cell>
        </row>
        <row r="107">
          <cell r="B107" t="str">
            <v>F</v>
          </cell>
          <cell r="C107">
            <v>48144</v>
          </cell>
          <cell r="D107" t="str">
            <v>FTT</v>
          </cell>
          <cell r="E107" t="str">
            <v>Turbidity Tube*</v>
          </cell>
          <cell r="F107" t="str">
            <v>S</v>
          </cell>
          <cell r="H107">
            <v>37.31</v>
          </cell>
          <cell r="I107">
            <v>0</v>
          </cell>
          <cell r="J107">
            <v>0.5</v>
          </cell>
          <cell r="K107">
            <v>6.2500000000000001E-4</v>
          </cell>
          <cell r="L107">
            <v>0</v>
          </cell>
          <cell r="M107">
            <v>0</v>
          </cell>
          <cell r="N107">
            <v>5</v>
          </cell>
          <cell r="O107">
            <v>5</v>
          </cell>
          <cell r="P107">
            <v>25</v>
          </cell>
        </row>
        <row r="108">
          <cell r="B108" t="str">
            <v>F</v>
          </cell>
          <cell r="C108">
            <v>48142</v>
          </cell>
          <cell r="D108" t="str">
            <v>FUC</v>
          </cell>
          <cell r="E108" t="str">
            <v>Complete Upflow Clarifier (To Fit T11 Tank)</v>
          </cell>
          <cell r="F108" t="str">
            <v>S</v>
          </cell>
          <cell r="H108">
            <v>3127.67</v>
          </cell>
          <cell r="I108">
            <v>0</v>
          </cell>
          <cell r="J108">
            <v>415</v>
          </cell>
          <cell r="K108">
            <v>1.8838699999999999</v>
          </cell>
          <cell r="L108">
            <v>0</v>
          </cell>
          <cell r="M108">
            <v>0</v>
          </cell>
          <cell r="N108">
            <v>155</v>
          </cell>
          <cell r="O108">
            <v>118</v>
          </cell>
          <cell r="P108">
            <v>103</v>
          </cell>
        </row>
        <row r="109">
          <cell r="B109" t="str">
            <v>F</v>
          </cell>
          <cell r="C109">
            <v>48144</v>
          </cell>
          <cell r="D109" t="str">
            <v>FX</v>
          </cell>
          <cell r="E109" t="str">
            <v>Fibertex F-4m Filter Fabric</v>
          </cell>
          <cell r="F109" t="str">
            <v>S</v>
          </cell>
          <cell r="H109">
            <v>246.33</v>
          </cell>
          <cell r="I109">
            <v>0</v>
          </cell>
          <cell r="J109">
            <v>114</v>
          </cell>
          <cell r="K109">
            <v>1.224</v>
          </cell>
          <cell r="L109">
            <v>0</v>
          </cell>
          <cell r="M109">
            <v>0</v>
          </cell>
          <cell r="N109">
            <v>120</v>
          </cell>
          <cell r="O109">
            <v>120</v>
          </cell>
          <cell r="P109">
            <v>85</v>
          </cell>
        </row>
        <row r="110">
          <cell r="B110" t="str">
            <v>G</v>
          </cell>
          <cell r="C110">
            <v>48139</v>
          </cell>
          <cell r="D110" t="str">
            <v>G0.1</v>
          </cell>
          <cell r="E110" t="str">
            <v>12m Roll PTFE Tape (12mm Wide)</v>
          </cell>
          <cell r="F110" t="str">
            <v>S</v>
          </cell>
          <cell r="G110">
            <v>12</v>
          </cell>
          <cell r="H110">
            <v>0.17519999999999999</v>
          </cell>
          <cell r="I110">
            <v>2.1023999999999998</v>
          </cell>
          <cell r="J110">
            <v>0</v>
          </cell>
          <cell r="K110">
            <v>0</v>
          </cell>
          <cell r="L110">
            <v>0</v>
          </cell>
          <cell r="M110">
            <v>0</v>
          </cell>
          <cell r="N110">
            <v>0</v>
          </cell>
          <cell r="O110">
            <v>0</v>
          </cell>
          <cell r="P110">
            <v>0</v>
          </cell>
        </row>
        <row r="111">
          <cell r="B111" t="str">
            <v>G</v>
          </cell>
          <cell r="C111">
            <v>48122</v>
          </cell>
          <cell r="D111" t="str">
            <v>G1.1</v>
          </cell>
          <cell r="E111" t="str">
            <v>32mm Compression Coupler uPVC</v>
          </cell>
          <cell r="F111" t="str">
            <v>S</v>
          </cell>
          <cell r="G111">
            <v>12</v>
          </cell>
          <cell r="H111">
            <v>1.3008999999999999</v>
          </cell>
          <cell r="I111">
            <v>15.610799999999999</v>
          </cell>
          <cell r="J111">
            <v>0</v>
          </cell>
          <cell r="K111">
            <v>1.2E-5</v>
          </cell>
          <cell r="L111">
            <v>0</v>
          </cell>
          <cell r="M111">
            <v>1.44E-4</v>
          </cell>
          <cell r="N111">
            <v>4</v>
          </cell>
          <cell r="O111">
            <v>3</v>
          </cell>
          <cell r="P111">
            <v>1</v>
          </cell>
        </row>
        <row r="112">
          <cell r="B112" t="str">
            <v>G</v>
          </cell>
          <cell r="C112">
            <v>48122</v>
          </cell>
          <cell r="D112" t="str">
            <v>G1.3</v>
          </cell>
          <cell r="E112" t="str">
            <v>32mm Compression Tee uPVC</v>
          </cell>
          <cell r="F112" t="str">
            <v>S</v>
          </cell>
          <cell r="G112">
            <v>12</v>
          </cell>
          <cell r="H112">
            <v>3.5002</v>
          </cell>
          <cell r="I112">
            <v>42.002400000000002</v>
          </cell>
          <cell r="J112">
            <v>0</v>
          </cell>
          <cell r="K112">
            <v>4.8000000000000001E-5</v>
          </cell>
          <cell r="L112">
            <v>0</v>
          </cell>
          <cell r="M112">
            <v>5.7600000000000001E-4</v>
          </cell>
          <cell r="N112">
            <v>6</v>
          </cell>
          <cell r="O112">
            <v>4</v>
          </cell>
          <cell r="P112">
            <v>2</v>
          </cell>
        </row>
        <row r="113">
          <cell r="B113" t="str">
            <v>G</v>
          </cell>
          <cell r="C113">
            <v>48122</v>
          </cell>
          <cell r="D113" t="str">
            <v>G1.6</v>
          </cell>
          <cell r="E113" t="str">
            <v>32mm Compression to 1" BSP (M) Coupler</v>
          </cell>
          <cell r="F113" t="str">
            <v>S</v>
          </cell>
          <cell r="G113">
            <v>12</v>
          </cell>
          <cell r="H113">
            <v>1.5783</v>
          </cell>
          <cell r="I113">
            <v>18.939599999999999</v>
          </cell>
          <cell r="J113">
            <v>0.1</v>
          </cell>
          <cell r="K113">
            <v>3.9999999999999998E-6</v>
          </cell>
          <cell r="L113">
            <v>1.2000000000000002</v>
          </cell>
          <cell r="M113">
            <v>4.8000000000000001E-5</v>
          </cell>
          <cell r="N113">
            <v>4</v>
          </cell>
          <cell r="O113">
            <v>1</v>
          </cell>
          <cell r="P113">
            <v>1</v>
          </cell>
        </row>
        <row r="114">
          <cell r="B114" t="str">
            <v>G</v>
          </cell>
          <cell r="C114">
            <v>48122</v>
          </cell>
          <cell r="D114" t="str">
            <v>G2.1</v>
          </cell>
          <cell r="E114" t="str">
            <v>2" Hose Coupler (F) c/w Washer 60mm OD Hose MI</v>
          </cell>
          <cell r="F114" t="str">
            <v>S</v>
          </cell>
          <cell r="H114">
            <v>5.8392999999999997</v>
          </cell>
          <cell r="I114">
            <v>0</v>
          </cell>
          <cell r="J114">
            <v>1</v>
          </cell>
          <cell r="K114">
            <v>6.0000000000000002E-6</v>
          </cell>
          <cell r="L114">
            <v>0</v>
          </cell>
          <cell r="M114">
            <v>0</v>
          </cell>
          <cell r="N114">
            <v>3</v>
          </cell>
          <cell r="O114">
            <v>2</v>
          </cell>
          <cell r="P114">
            <v>1</v>
          </cell>
        </row>
        <row r="115">
          <cell r="B115" t="str">
            <v>G</v>
          </cell>
          <cell r="C115">
            <v>48122</v>
          </cell>
          <cell r="D115" t="str">
            <v>G2.11</v>
          </cell>
          <cell r="E115" t="str">
            <v>2" Floating Valve with Tank Reinforcement</v>
          </cell>
          <cell r="F115" t="str">
            <v>S</v>
          </cell>
          <cell r="H115">
            <v>170</v>
          </cell>
          <cell r="I115">
            <v>0</v>
          </cell>
          <cell r="J115">
            <v>10</v>
          </cell>
          <cell r="K115">
            <v>7.9826999999999995E-2</v>
          </cell>
          <cell r="L115">
            <v>0</v>
          </cell>
          <cell r="M115">
            <v>0</v>
          </cell>
          <cell r="N115">
            <v>59</v>
          </cell>
          <cell r="O115">
            <v>41</v>
          </cell>
          <cell r="P115">
            <v>33</v>
          </cell>
        </row>
        <row r="116">
          <cell r="B116" t="str">
            <v>G</v>
          </cell>
          <cell r="C116">
            <v>48122</v>
          </cell>
          <cell r="D116" t="str">
            <v>G2.12</v>
          </cell>
          <cell r="E116" t="str">
            <v>2" Bolted Hose Clip - 60mm OD Hose</v>
          </cell>
          <cell r="F116" t="str">
            <v>S</v>
          </cell>
          <cell r="H116">
            <v>1.1855</v>
          </cell>
          <cell r="I116">
            <v>0</v>
          </cell>
          <cell r="J116">
            <v>0</v>
          </cell>
          <cell r="K116">
            <v>0</v>
          </cell>
          <cell r="L116">
            <v>0</v>
          </cell>
          <cell r="M116">
            <v>0</v>
          </cell>
          <cell r="N116">
            <v>0</v>
          </cell>
          <cell r="O116">
            <v>0</v>
          </cell>
          <cell r="P116">
            <v>0</v>
          </cell>
        </row>
        <row r="117">
          <cell r="B117" t="str">
            <v>G</v>
          </cell>
          <cell r="C117">
            <v>48122</v>
          </cell>
          <cell r="D117" t="str">
            <v>G2.15</v>
          </cell>
          <cell r="E117" t="str">
            <v>For Code MTM 2" x 15m Coil Flexi Hose</v>
          </cell>
          <cell r="F117" t="str">
            <v>S</v>
          </cell>
          <cell r="H117">
            <v>25</v>
          </cell>
          <cell r="I117">
            <v>0</v>
          </cell>
          <cell r="J117">
            <v>16</v>
          </cell>
          <cell r="K117">
            <v>0.26522600000000002</v>
          </cell>
          <cell r="L117">
            <v>0</v>
          </cell>
          <cell r="M117">
            <v>0</v>
          </cell>
          <cell r="N117">
            <v>101</v>
          </cell>
          <cell r="O117">
            <v>101</v>
          </cell>
          <cell r="P117">
            <v>26</v>
          </cell>
        </row>
        <row r="118">
          <cell r="B118" t="str">
            <v>G</v>
          </cell>
          <cell r="C118">
            <v>48122</v>
          </cell>
          <cell r="D118" t="str">
            <v>G2.19</v>
          </cell>
          <cell r="E118" t="str">
            <v>63mm OD uPVC Compression Coupler</v>
          </cell>
          <cell r="F118" t="str">
            <v>S</v>
          </cell>
          <cell r="H118">
            <v>6.01</v>
          </cell>
          <cell r="I118">
            <v>0</v>
          </cell>
          <cell r="J118">
            <v>0</v>
          </cell>
          <cell r="K118">
            <v>0</v>
          </cell>
          <cell r="L118">
            <v>0</v>
          </cell>
          <cell r="M118">
            <v>0</v>
          </cell>
          <cell r="N118">
            <v>0</v>
          </cell>
          <cell r="O118">
            <v>0</v>
          </cell>
          <cell r="P118">
            <v>0</v>
          </cell>
        </row>
        <row r="119">
          <cell r="B119" t="str">
            <v>G</v>
          </cell>
          <cell r="C119">
            <v>48122</v>
          </cell>
          <cell r="D119" t="str">
            <v>G2.2</v>
          </cell>
          <cell r="E119" t="str">
            <v>2" BSP (m) Hose Coupler MI</v>
          </cell>
          <cell r="F119" t="str">
            <v>S</v>
          </cell>
          <cell r="H119">
            <v>5.1905000000000001</v>
          </cell>
          <cell r="I119">
            <v>0</v>
          </cell>
          <cell r="J119">
            <v>1</v>
          </cell>
          <cell r="K119">
            <v>6.0000000000000002E-6</v>
          </cell>
          <cell r="L119">
            <v>0</v>
          </cell>
          <cell r="M119">
            <v>0</v>
          </cell>
          <cell r="N119">
            <v>3</v>
          </cell>
          <cell r="O119">
            <v>2</v>
          </cell>
          <cell r="P119">
            <v>1</v>
          </cell>
        </row>
        <row r="120">
          <cell r="B120" t="str">
            <v>G</v>
          </cell>
          <cell r="C120">
            <v>48122</v>
          </cell>
          <cell r="D120" t="str">
            <v>G2.22</v>
          </cell>
          <cell r="E120" t="str">
            <v>2" Hex Nipple GI</v>
          </cell>
          <cell r="F120" t="str">
            <v>S</v>
          </cell>
          <cell r="H120">
            <v>2.4504999999999999</v>
          </cell>
          <cell r="I120">
            <v>0</v>
          </cell>
          <cell r="J120">
            <v>1</v>
          </cell>
          <cell r="K120">
            <v>6.0000000000000002E-6</v>
          </cell>
          <cell r="L120">
            <v>0</v>
          </cell>
          <cell r="M120">
            <v>0</v>
          </cell>
          <cell r="N120">
            <v>3</v>
          </cell>
          <cell r="O120">
            <v>2</v>
          </cell>
          <cell r="P120">
            <v>1</v>
          </cell>
        </row>
        <row r="121">
          <cell r="B121" t="str">
            <v>G</v>
          </cell>
          <cell r="C121">
            <v>48120</v>
          </cell>
          <cell r="D121" t="str">
            <v>G2.4</v>
          </cell>
          <cell r="E121" t="str">
            <v>2" Flexi Hose (30m coil)</v>
          </cell>
          <cell r="F121" t="str">
            <v>S</v>
          </cell>
          <cell r="H121">
            <v>60.69</v>
          </cell>
          <cell r="I121">
            <v>0</v>
          </cell>
          <cell r="J121">
            <v>26</v>
          </cell>
          <cell r="K121">
            <v>0.19101199999999999</v>
          </cell>
          <cell r="L121">
            <v>0</v>
          </cell>
          <cell r="M121">
            <v>0</v>
          </cell>
          <cell r="N121">
            <v>106</v>
          </cell>
          <cell r="O121">
            <v>106</v>
          </cell>
          <cell r="P121">
            <v>17</v>
          </cell>
        </row>
        <row r="122">
          <cell r="B122" t="str">
            <v>G</v>
          </cell>
          <cell r="C122">
            <v>48122</v>
          </cell>
          <cell r="D122" t="str">
            <v>G2.6</v>
          </cell>
          <cell r="E122" t="str">
            <v>2" BSP (F) Brass Gate Valve</v>
          </cell>
          <cell r="F122" t="str">
            <v>S</v>
          </cell>
          <cell r="G122">
            <v>10</v>
          </cell>
          <cell r="H122">
            <v>10</v>
          </cell>
          <cell r="I122">
            <v>100</v>
          </cell>
          <cell r="J122">
            <v>2</v>
          </cell>
          <cell r="K122">
            <v>1.44E-4</v>
          </cell>
          <cell r="L122">
            <v>20</v>
          </cell>
          <cell r="M122">
            <v>1.4400000000000001E-3</v>
          </cell>
          <cell r="N122">
            <v>8</v>
          </cell>
          <cell r="O122">
            <v>6</v>
          </cell>
          <cell r="P122">
            <v>3</v>
          </cell>
        </row>
        <row r="123">
          <cell r="B123" t="str">
            <v>G</v>
          </cell>
          <cell r="C123">
            <v>48122</v>
          </cell>
          <cell r="D123" t="str">
            <v>G3.1</v>
          </cell>
          <cell r="E123" t="str">
            <v>3" Flange Assembly</v>
          </cell>
          <cell r="F123" t="str">
            <v>S</v>
          </cell>
          <cell r="G123">
            <v>6</v>
          </cell>
          <cell r="H123">
            <v>31.43</v>
          </cell>
          <cell r="I123">
            <v>188.57999999999998</v>
          </cell>
          <cell r="J123">
            <v>6</v>
          </cell>
          <cell r="K123">
            <v>2.3040000000000001E-3</v>
          </cell>
          <cell r="L123">
            <v>36</v>
          </cell>
          <cell r="M123">
            <v>1.3823999999999999E-2</v>
          </cell>
          <cell r="N123">
            <v>16</v>
          </cell>
          <cell r="O123">
            <v>12</v>
          </cell>
          <cell r="P123">
            <v>12</v>
          </cell>
        </row>
        <row r="124">
          <cell r="B124" t="str">
            <v>G</v>
          </cell>
          <cell r="C124">
            <v>48122</v>
          </cell>
          <cell r="D124" t="str">
            <v>G3.10</v>
          </cell>
          <cell r="E124" t="str">
            <v>3" BSP (M) to 3" Compression Coupler uPVC</v>
          </cell>
          <cell r="F124" t="str">
            <v>S</v>
          </cell>
          <cell r="G124">
            <v>12</v>
          </cell>
          <cell r="H124">
            <v>10.7475</v>
          </cell>
          <cell r="I124">
            <v>128.97</v>
          </cell>
          <cell r="J124">
            <v>1</v>
          </cell>
          <cell r="K124">
            <v>9.0000000000000006E-5</v>
          </cell>
          <cell r="L124">
            <v>12</v>
          </cell>
          <cell r="M124">
            <v>1.08E-3</v>
          </cell>
          <cell r="N124">
            <v>6</v>
          </cell>
          <cell r="O124">
            <v>5</v>
          </cell>
          <cell r="P124">
            <v>3</v>
          </cell>
        </row>
        <row r="125">
          <cell r="B125" t="str">
            <v>G</v>
          </cell>
          <cell r="C125">
            <v>48122</v>
          </cell>
          <cell r="D125" t="str">
            <v>G3.14</v>
          </cell>
          <cell r="E125" t="str">
            <v>3" x 1" (F) Self-Tapping Ferrule Strap</v>
          </cell>
          <cell r="F125" t="str">
            <v>S</v>
          </cell>
          <cell r="G125">
            <v>6</v>
          </cell>
          <cell r="H125">
            <v>18.36</v>
          </cell>
          <cell r="I125">
            <v>110.16</v>
          </cell>
          <cell r="J125">
            <v>2</v>
          </cell>
          <cell r="K125">
            <v>9.0000000000000002E-6</v>
          </cell>
          <cell r="L125">
            <v>12</v>
          </cell>
          <cell r="M125">
            <v>5.3999999999999998E-5</v>
          </cell>
          <cell r="N125">
            <v>3</v>
          </cell>
          <cell r="O125">
            <v>3</v>
          </cell>
          <cell r="P125">
            <v>1</v>
          </cell>
        </row>
        <row r="126">
          <cell r="B126" t="str">
            <v>G</v>
          </cell>
          <cell r="C126">
            <v>48122</v>
          </cell>
          <cell r="D126" t="str">
            <v>G3.14.1</v>
          </cell>
          <cell r="E126" t="str">
            <v>Ferrule Strap Key</v>
          </cell>
          <cell r="F126" t="str">
            <v>S</v>
          </cell>
          <cell r="G126">
            <v>4</v>
          </cell>
          <cell r="H126">
            <v>8.3689</v>
          </cell>
          <cell r="I126">
            <v>33.4756</v>
          </cell>
          <cell r="J126">
            <v>0</v>
          </cell>
          <cell r="K126">
            <v>0</v>
          </cell>
          <cell r="L126">
            <v>0</v>
          </cell>
          <cell r="M126">
            <v>0</v>
          </cell>
          <cell r="N126">
            <v>1</v>
          </cell>
          <cell r="O126">
            <v>1</v>
          </cell>
          <cell r="P126">
            <v>0</v>
          </cell>
        </row>
        <row r="127">
          <cell r="B127" t="str">
            <v>G</v>
          </cell>
          <cell r="C127">
            <v>48120</v>
          </cell>
          <cell r="D127" t="str">
            <v>G3.15</v>
          </cell>
          <cell r="E127" t="str">
            <v>3" Suction Hose, Low Toxic (30m Coil)</v>
          </cell>
          <cell r="F127" t="str">
            <v>S</v>
          </cell>
          <cell r="G127">
            <v>6</v>
          </cell>
          <cell r="H127">
            <v>99.0762</v>
          </cell>
          <cell r="I127">
            <v>594.45720000000006</v>
          </cell>
          <cell r="J127">
            <v>51</v>
          </cell>
          <cell r="K127">
            <v>0.53868000000000005</v>
          </cell>
          <cell r="L127">
            <v>306</v>
          </cell>
          <cell r="M127">
            <v>3.2320800000000003</v>
          </cell>
          <cell r="N127">
            <v>134</v>
          </cell>
          <cell r="O127">
            <v>134</v>
          </cell>
          <cell r="P127">
            <v>30</v>
          </cell>
        </row>
        <row r="128">
          <cell r="B128" t="str">
            <v>G</v>
          </cell>
          <cell r="C128">
            <v>48122</v>
          </cell>
          <cell r="D128" t="str">
            <v>G3.18</v>
          </cell>
          <cell r="E128" t="str">
            <v>3" Bolted Hose Clip (86-91mm)</v>
          </cell>
          <cell r="F128" t="str">
            <v>S</v>
          </cell>
          <cell r="G128">
            <v>20</v>
          </cell>
          <cell r="H128">
            <v>1.67</v>
          </cell>
          <cell r="I128">
            <v>33.4</v>
          </cell>
          <cell r="J128">
            <v>0</v>
          </cell>
          <cell r="K128">
            <v>9.9999999999999995E-7</v>
          </cell>
          <cell r="L128">
            <v>0</v>
          </cell>
          <cell r="M128">
            <v>1.9999999999999998E-5</v>
          </cell>
          <cell r="N128">
            <v>1</v>
          </cell>
          <cell r="O128">
            <v>1</v>
          </cell>
          <cell r="P128">
            <v>1</v>
          </cell>
        </row>
        <row r="129">
          <cell r="B129" t="str">
            <v>G</v>
          </cell>
          <cell r="C129">
            <v>48122</v>
          </cell>
          <cell r="D129" t="str">
            <v>G3.19</v>
          </cell>
          <cell r="E129" t="str">
            <v>3" Tee (F) GI</v>
          </cell>
          <cell r="F129" t="str">
            <v>S</v>
          </cell>
          <cell r="G129">
            <v>12</v>
          </cell>
          <cell r="H129">
            <v>12.44</v>
          </cell>
          <cell r="I129">
            <v>149.28</v>
          </cell>
          <cell r="J129">
            <v>3</v>
          </cell>
          <cell r="K129">
            <v>1.4999999999999999E-4</v>
          </cell>
          <cell r="L129">
            <v>36</v>
          </cell>
          <cell r="M129">
            <v>1.8E-3</v>
          </cell>
          <cell r="N129">
            <v>6</v>
          </cell>
          <cell r="O129">
            <v>5</v>
          </cell>
          <cell r="P129">
            <v>5</v>
          </cell>
        </row>
        <row r="130">
          <cell r="B130" t="str">
            <v>G</v>
          </cell>
          <cell r="C130">
            <v>48122</v>
          </cell>
          <cell r="D130" t="str">
            <v>G3.2</v>
          </cell>
          <cell r="E130" t="str">
            <v>3" BSP (f) Hose Coupler For 90mm OD Hose</v>
          </cell>
          <cell r="F130" t="str">
            <v>S</v>
          </cell>
          <cell r="G130">
            <v>6</v>
          </cell>
          <cell r="I130">
            <v>0</v>
          </cell>
          <cell r="J130">
            <v>1</v>
          </cell>
          <cell r="K130">
            <v>1.2E-5</v>
          </cell>
          <cell r="L130">
            <v>6</v>
          </cell>
          <cell r="M130">
            <v>7.2000000000000002E-5</v>
          </cell>
          <cell r="N130">
            <v>3</v>
          </cell>
          <cell r="O130">
            <v>2</v>
          </cell>
          <cell r="P130">
            <v>2</v>
          </cell>
        </row>
        <row r="131">
          <cell r="B131" t="str">
            <v>G</v>
          </cell>
          <cell r="C131">
            <v>48122</v>
          </cell>
          <cell r="D131" t="str">
            <v>G3.3</v>
          </cell>
          <cell r="E131" t="str">
            <v>3" BSP (m) Hose Coupler For 90mm OD Hose</v>
          </cell>
          <cell r="F131" t="str">
            <v>S</v>
          </cell>
          <cell r="H131">
            <v>7.5490000000000004</v>
          </cell>
          <cell r="I131">
            <v>0</v>
          </cell>
          <cell r="J131">
            <v>1</v>
          </cell>
          <cell r="K131">
            <v>1.2E-5</v>
          </cell>
          <cell r="L131">
            <v>0</v>
          </cell>
          <cell r="M131">
            <v>0</v>
          </cell>
          <cell r="N131">
            <v>3</v>
          </cell>
          <cell r="O131">
            <v>2</v>
          </cell>
          <cell r="P131">
            <v>2</v>
          </cell>
        </row>
        <row r="132">
          <cell r="B132" t="str">
            <v>G</v>
          </cell>
          <cell r="C132">
            <v>48122</v>
          </cell>
          <cell r="D132" t="str">
            <v>G3.33</v>
          </cell>
          <cell r="E132" t="str">
            <v>3" 90 Degree Elbow (F) GI</v>
          </cell>
          <cell r="F132" t="str">
            <v>S</v>
          </cell>
          <cell r="G132">
            <v>12</v>
          </cell>
          <cell r="H132">
            <v>6.51</v>
          </cell>
          <cell r="I132">
            <v>78.12</v>
          </cell>
          <cell r="J132">
            <v>2</v>
          </cell>
          <cell r="K132">
            <v>3.6000000000000001E-5</v>
          </cell>
          <cell r="L132">
            <v>24</v>
          </cell>
          <cell r="M132">
            <v>4.3199999999999998E-4</v>
          </cell>
          <cell r="N132">
            <v>4</v>
          </cell>
          <cell r="O132">
            <v>3</v>
          </cell>
          <cell r="P132">
            <v>3</v>
          </cell>
        </row>
        <row r="133">
          <cell r="B133" t="str">
            <v>G</v>
          </cell>
          <cell r="C133">
            <v>48122</v>
          </cell>
          <cell r="D133" t="str">
            <v>G3.35</v>
          </cell>
          <cell r="E133" t="str">
            <v>3" Non-return Valve (Clack Valve) (F) Brass</v>
          </cell>
          <cell r="F133" t="str">
            <v>S</v>
          </cell>
          <cell r="G133">
            <v>4</v>
          </cell>
          <cell r="H133">
            <v>24.69</v>
          </cell>
          <cell r="I133">
            <v>98.76</v>
          </cell>
          <cell r="J133">
            <v>3</v>
          </cell>
          <cell r="K133">
            <v>8.0000000000000007E-5</v>
          </cell>
          <cell r="L133">
            <v>12</v>
          </cell>
          <cell r="M133">
            <v>3.2000000000000003E-4</v>
          </cell>
          <cell r="N133">
            <v>5</v>
          </cell>
          <cell r="O133">
            <v>4</v>
          </cell>
          <cell r="P133">
            <v>4</v>
          </cell>
        </row>
        <row r="134">
          <cell r="B134" t="str">
            <v>G</v>
          </cell>
          <cell r="C134">
            <v>48122</v>
          </cell>
          <cell r="D134" t="str">
            <v>G3.36</v>
          </cell>
          <cell r="E134" t="str">
            <v>3" Foot Valve + Strainer, Male Hose Stub - SOCLA</v>
          </cell>
          <cell r="F134" t="str">
            <v>S</v>
          </cell>
          <cell r="G134">
            <v>2</v>
          </cell>
          <cell r="H134">
            <v>59.53</v>
          </cell>
          <cell r="I134">
            <v>119.06</v>
          </cell>
          <cell r="J134">
            <v>12</v>
          </cell>
          <cell r="K134">
            <v>2.3040000000000001E-3</v>
          </cell>
          <cell r="L134">
            <v>24</v>
          </cell>
          <cell r="M134">
            <v>4.6080000000000001E-3</v>
          </cell>
          <cell r="N134">
            <v>16</v>
          </cell>
          <cell r="O134">
            <v>12</v>
          </cell>
          <cell r="P134">
            <v>12</v>
          </cell>
        </row>
        <row r="135">
          <cell r="B135" t="str">
            <v>G</v>
          </cell>
          <cell r="C135">
            <v>48122</v>
          </cell>
          <cell r="D135" t="str">
            <v>G3.37</v>
          </cell>
          <cell r="E135" t="str">
            <v>Automatic Air Release Valve</v>
          </cell>
          <cell r="F135" t="str">
            <v>N</v>
          </cell>
          <cell r="H135">
            <v>80</v>
          </cell>
          <cell r="I135">
            <v>0</v>
          </cell>
          <cell r="J135">
            <v>8</v>
          </cell>
          <cell r="K135">
            <v>7.9799999999999992E-3</v>
          </cell>
          <cell r="L135">
            <v>0</v>
          </cell>
          <cell r="M135">
            <v>0</v>
          </cell>
          <cell r="N135">
            <v>28</v>
          </cell>
          <cell r="O135">
            <v>19</v>
          </cell>
          <cell r="P135">
            <v>15</v>
          </cell>
        </row>
        <row r="136">
          <cell r="B136" t="str">
            <v>G</v>
          </cell>
          <cell r="C136">
            <v>48122</v>
          </cell>
          <cell r="D136" t="str">
            <v>G3.38</v>
          </cell>
          <cell r="E136" t="str">
            <v>Bulk Water Meter</v>
          </cell>
          <cell r="F136" t="str">
            <v>N</v>
          </cell>
          <cell r="H136">
            <v>342.62</v>
          </cell>
          <cell r="I136">
            <v>0</v>
          </cell>
          <cell r="J136">
            <v>26</v>
          </cell>
          <cell r="K136">
            <v>2.7993000000000001E-2</v>
          </cell>
          <cell r="L136">
            <v>0</v>
          </cell>
          <cell r="M136">
            <v>0</v>
          </cell>
          <cell r="N136">
            <v>43</v>
          </cell>
          <cell r="O136">
            <v>21</v>
          </cell>
          <cell r="P136">
            <v>31</v>
          </cell>
        </row>
        <row r="137">
          <cell r="B137" t="str">
            <v>G</v>
          </cell>
          <cell r="C137">
            <v>48122</v>
          </cell>
          <cell r="D137" t="str">
            <v>G3.39</v>
          </cell>
          <cell r="E137" t="str">
            <v>Pressure Reducing Valve</v>
          </cell>
          <cell r="F137" t="str">
            <v>N</v>
          </cell>
          <cell r="H137">
            <v>506.52</v>
          </cell>
          <cell r="I137">
            <v>0</v>
          </cell>
          <cell r="J137">
            <v>12</v>
          </cell>
          <cell r="K137">
            <v>1.8515E-2</v>
          </cell>
          <cell r="L137">
            <v>0</v>
          </cell>
          <cell r="M137">
            <v>0</v>
          </cell>
          <cell r="N137">
            <v>35</v>
          </cell>
          <cell r="O137">
            <v>23</v>
          </cell>
          <cell r="P137">
            <v>23</v>
          </cell>
        </row>
        <row r="138">
          <cell r="B138" t="str">
            <v>G</v>
          </cell>
          <cell r="C138">
            <v>48122</v>
          </cell>
          <cell r="D138" t="str">
            <v>G3.4</v>
          </cell>
          <cell r="E138" t="str">
            <v>3" BSP (F) Gate Valve Brass 8 Bar</v>
          </cell>
          <cell r="F138" t="str">
            <v>S</v>
          </cell>
          <cell r="G138">
            <v>6</v>
          </cell>
          <cell r="H138">
            <v>22.7057</v>
          </cell>
          <cell r="I138">
            <v>136.23419999999999</v>
          </cell>
          <cell r="J138">
            <v>4</v>
          </cell>
          <cell r="K138">
            <v>8.0000000000000004E-4</v>
          </cell>
          <cell r="L138">
            <v>24</v>
          </cell>
          <cell r="M138">
            <v>4.8000000000000004E-3</v>
          </cell>
          <cell r="N138">
            <v>10</v>
          </cell>
          <cell r="O138">
            <v>10</v>
          </cell>
          <cell r="P138">
            <v>8</v>
          </cell>
        </row>
        <row r="139">
          <cell r="B139" t="str">
            <v>G</v>
          </cell>
          <cell r="C139">
            <v>48122</v>
          </cell>
          <cell r="D139" t="str">
            <v>G3.8</v>
          </cell>
          <cell r="E139" t="str">
            <v>3" Hex Nipple GI</v>
          </cell>
          <cell r="F139" t="str">
            <v>S</v>
          </cell>
          <cell r="G139">
            <v>12</v>
          </cell>
          <cell r="H139">
            <v>6.49</v>
          </cell>
          <cell r="I139">
            <v>77.88</v>
          </cell>
          <cell r="J139">
            <v>2</v>
          </cell>
          <cell r="K139">
            <v>1.2E-5</v>
          </cell>
          <cell r="L139">
            <v>24</v>
          </cell>
          <cell r="M139">
            <v>1.44E-4</v>
          </cell>
          <cell r="N139">
            <v>3</v>
          </cell>
          <cell r="O139">
            <v>2</v>
          </cell>
          <cell r="P139">
            <v>2</v>
          </cell>
        </row>
        <row r="140">
          <cell r="B140" t="str">
            <v>G</v>
          </cell>
          <cell r="C140">
            <v>48122</v>
          </cell>
          <cell r="D140" t="str">
            <v>G3.9</v>
          </cell>
          <cell r="E140" t="str">
            <v>3" Compression Coupler uPVC</v>
          </cell>
          <cell r="F140" t="str">
            <v>S</v>
          </cell>
          <cell r="G140">
            <v>6</v>
          </cell>
          <cell r="H140">
            <v>14.55</v>
          </cell>
          <cell r="I140">
            <v>87.300000000000011</v>
          </cell>
          <cell r="J140">
            <v>2</v>
          </cell>
          <cell r="K140">
            <v>1.3999999999999999E-4</v>
          </cell>
          <cell r="L140">
            <v>12</v>
          </cell>
          <cell r="M140">
            <v>8.3999999999999993E-4</v>
          </cell>
          <cell r="N140">
            <v>7</v>
          </cell>
          <cell r="O140">
            <v>5</v>
          </cell>
          <cell r="P140">
            <v>4</v>
          </cell>
        </row>
        <row r="141">
          <cell r="B141" t="str">
            <v>G</v>
          </cell>
          <cell r="C141">
            <v>48120</v>
          </cell>
          <cell r="D141" t="str">
            <v>G4.1</v>
          </cell>
          <cell r="E141" t="str">
            <v>4" Bolted Hse Clip (113-121mm)</v>
          </cell>
          <cell r="F141" t="str">
            <v>S</v>
          </cell>
          <cell r="H141">
            <v>2.08</v>
          </cell>
          <cell r="I141">
            <v>0</v>
          </cell>
          <cell r="J141">
            <v>0.18</v>
          </cell>
          <cell r="K141">
            <v>1.9999999999999999E-6</v>
          </cell>
          <cell r="L141">
            <v>0</v>
          </cell>
          <cell r="M141">
            <v>0</v>
          </cell>
          <cell r="N141">
            <v>2</v>
          </cell>
          <cell r="O141">
            <v>1</v>
          </cell>
          <cell r="P141">
            <v>1</v>
          </cell>
        </row>
        <row r="142">
          <cell r="B142" t="str">
            <v>G</v>
          </cell>
          <cell r="C142">
            <v>48120</v>
          </cell>
          <cell r="D142" t="str">
            <v>G4.15</v>
          </cell>
          <cell r="E142" t="str">
            <v>4" Suction Hose - Low Toxic x 30m Coil</v>
          </cell>
          <cell r="F142" t="str">
            <v>S</v>
          </cell>
          <cell r="H142">
            <v>167.43</v>
          </cell>
          <cell r="I142">
            <v>0</v>
          </cell>
          <cell r="J142">
            <v>80</v>
          </cell>
          <cell r="K142">
            <v>0.76663999999999999</v>
          </cell>
          <cell r="L142">
            <v>0</v>
          </cell>
          <cell r="M142">
            <v>0</v>
          </cell>
          <cell r="N142">
            <v>148</v>
          </cell>
          <cell r="O142">
            <v>148</v>
          </cell>
          <cell r="P142">
            <v>35</v>
          </cell>
        </row>
        <row r="143">
          <cell r="B143" t="str">
            <v>G</v>
          </cell>
          <cell r="C143">
            <v>48122</v>
          </cell>
          <cell r="D143" t="str">
            <v>G4.2</v>
          </cell>
          <cell r="E143" t="str">
            <v>4" BSP (F) x 4" Hose Coupler, c/w Washer MI</v>
          </cell>
          <cell r="F143" t="str">
            <v>S</v>
          </cell>
          <cell r="H143">
            <v>20.25</v>
          </cell>
          <cell r="I143">
            <v>0</v>
          </cell>
          <cell r="J143">
            <v>3</v>
          </cell>
          <cell r="K143">
            <v>1.4999999999999999E-4</v>
          </cell>
          <cell r="L143">
            <v>0</v>
          </cell>
          <cell r="M143">
            <v>0</v>
          </cell>
          <cell r="N143">
            <v>6</v>
          </cell>
          <cell r="O143">
            <v>5</v>
          </cell>
          <cell r="P143">
            <v>5</v>
          </cell>
        </row>
        <row r="144">
          <cell r="B144" t="str">
            <v>G</v>
          </cell>
          <cell r="C144">
            <v>48122</v>
          </cell>
          <cell r="D144" t="str">
            <v>G4.3</v>
          </cell>
          <cell r="E144" t="str">
            <v>4" BSP (M) x 4" Hose Coupler MI</v>
          </cell>
          <cell r="F144" t="str">
            <v>S</v>
          </cell>
          <cell r="H144">
            <v>15.6</v>
          </cell>
          <cell r="I144">
            <v>0</v>
          </cell>
          <cell r="J144">
            <v>3</v>
          </cell>
          <cell r="K144">
            <v>1.4999999999999999E-4</v>
          </cell>
          <cell r="L144">
            <v>0</v>
          </cell>
          <cell r="M144">
            <v>0</v>
          </cell>
          <cell r="N144">
            <v>6</v>
          </cell>
          <cell r="O144">
            <v>5</v>
          </cell>
          <cell r="P144">
            <v>5</v>
          </cell>
        </row>
        <row r="145">
          <cell r="B145" t="str">
            <v>G</v>
          </cell>
          <cell r="C145">
            <v>48122</v>
          </cell>
          <cell r="D145" t="str">
            <v>G4.4</v>
          </cell>
          <cell r="E145" t="str">
            <v>4" Footvalve + Strainer, Male Hose Stub - SOCLA</v>
          </cell>
          <cell r="F145" t="str">
            <v>S</v>
          </cell>
          <cell r="H145">
            <v>28.09</v>
          </cell>
          <cell r="I145">
            <v>0</v>
          </cell>
          <cell r="J145">
            <v>5</v>
          </cell>
          <cell r="K145">
            <v>2.16E-3</v>
          </cell>
          <cell r="L145">
            <v>0</v>
          </cell>
          <cell r="M145">
            <v>0</v>
          </cell>
          <cell r="N145">
            <v>15</v>
          </cell>
          <cell r="O145">
            <v>12</v>
          </cell>
          <cell r="P145">
            <v>12</v>
          </cell>
        </row>
        <row r="146">
          <cell r="B146" t="str">
            <v>H</v>
          </cell>
          <cell r="C146">
            <v>48002</v>
          </cell>
          <cell r="D146" t="str">
            <v>HAS</v>
          </cell>
          <cell r="E146" t="str">
            <v>All Purpose Soap</v>
          </cell>
          <cell r="F146" t="str">
            <v>S</v>
          </cell>
          <cell r="H146">
            <v>579.20000000000005</v>
          </cell>
          <cell r="I146">
            <v>0</v>
          </cell>
          <cell r="J146">
            <v>872</v>
          </cell>
          <cell r="K146">
            <v>1.272</v>
          </cell>
          <cell r="L146">
            <v>0</v>
          </cell>
          <cell r="M146">
            <v>0</v>
          </cell>
          <cell r="N146">
            <v>106</v>
          </cell>
          <cell r="O146">
            <v>120</v>
          </cell>
          <cell r="P146">
            <v>100</v>
          </cell>
        </row>
        <row r="147">
          <cell r="B147" t="str">
            <v>H</v>
          </cell>
          <cell r="C147">
            <v>48005</v>
          </cell>
          <cell r="D147" t="str">
            <v>HD</v>
          </cell>
          <cell r="E147" t="str">
            <v>Emergency Health Kit</v>
          </cell>
          <cell r="F147" t="str">
            <v>N</v>
          </cell>
          <cell r="H147">
            <v>3089.41</v>
          </cell>
          <cell r="I147">
            <v>0</v>
          </cell>
          <cell r="J147">
            <v>865</v>
          </cell>
          <cell r="K147">
            <v>3.41</v>
          </cell>
          <cell r="L147">
            <v>0</v>
          </cell>
          <cell r="M147">
            <v>0</v>
          </cell>
        </row>
        <row r="148">
          <cell r="B148" t="str">
            <v>H</v>
          </cell>
          <cell r="C148">
            <v>47432</v>
          </cell>
          <cell r="D148" t="str">
            <v>HFA</v>
          </cell>
          <cell r="E148" t="str">
            <v>Emergency First Aid Kit</v>
          </cell>
          <cell r="F148" t="str">
            <v>N</v>
          </cell>
          <cell r="I148">
            <v>0</v>
          </cell>
          <cell r="J148">
            <v>13.85</v>
          </cell>
          <cell r="K148">
            <v>6.6000000000000003E-2</v>
          </cell>
          <cell r="L148">
            <v>0</v>
          </cell>
        </row>
        <row r="149">
          <cell r="B149" t="str">
            <v>H</v>
          </cell>
          <cell r="C149">
            <v>48005</v>
          </cell>
          <cell r="D149" t="str">
            <v>HMT</v>
          </cell>
          <cell r="E149" t="str">
            <v>Multi Purpose Toweling</v>
          </cell>
          <cell r="F149" t="str">
            <v>S</v>
          </cell>
          <cell r="H149">
            <v>1223</v>
          </cell>
          <cell r="I149">
            <v>0</v>
          </cell>
          <cell r="J149">
            <v>227</v>
          </cell>
          <cell r="K149">
            <v>2.532</v>
          </cell>
          <cell r="L149">
            <v>0</v>
          </cell>
          <cell r="M149">
            <v>0</v>
          </cell>
          <cell r="N149">
            <v>211</v>
          </cell>
          <cell r="O149">
            <v>120</v>
          </cell>
          <cell r="P149">
            <v>100</v>
          </cell>
        </row>
        <row r="150">
          <cell r="B150" t="str">
            <v>H</v>
          </cell>
          <cell r="C150">
            <v>48003</v>
          </cell>
          <cell r="D150" t="str">
            <v>HORS</v>
          </cell>
          <cell r="E150" t="str">
            <v>Oral Re-hydration Salts</v>
          </cell>
          <cell r="F150" t="str">
            <v>S</v>
          </cell>
          <cell r="H150">
            <v>106.33</v>
          </cell>
          <cell r="I150">
            <v>0</v>
          </cell>
          <cell r="J150">
            <v>33</v>
          </cell>
          <cell r="K150">
            <v>7.392E-2</v>
          </cell>
          <cell r="L150">
            <v>0</v>
          </cell>
          <cell r="M150">
            <v>0</v>
          </cell>
          <cell r="N150">
            <v>24</v>
          </cell>
          <cell r="O150">
            <v>77</v>
          </cell>
          <cell r="P150">
            <v>40</v>
          </cell>
        </row>
        <row r="151">
          <cell r="B151" t="str">
            <v>K</v>
          </cell>
          <cell r="C151">
            <v>46309</v>
          </cell>
          <cell r="D151" t="str">
            <v>KFX</v>
          </cell>
          <cell r="E151" t="str">
            <v xml:space="preserve">Office Fax Machine </v>
          </cell>
          <cell r="F151" t="str">
            <v>S</v>
          </cell>
          <cell r="H151">
            <v>354.96</v>
          </cell>
          <cell r="I151">
            <v>0</v>
          </cell>
          <cell r="J151">
            <v>9</v>
          </cell>
          <cell r="K151">
            <v>8.1733E-2</v>
          </cell>
          <cell r="L151">
            <v>0</v>
          </cell>
          <cell r="M151">
            <v>0</v>
          </cell>
          <cell r="N151">
            <v>47</v>
          </cell>
          <cell r="O151">
            <v>47</v>
          </cell>
          <cell r="P151">
            <v>37</v>
          </cell>
        </row>
        <row r="152">
          <cell r="B152" t="str">
            <v>K</v>
          </cell>
          <cell r="C152" t="str">
            <v>46054 / 46074</v>
          </cell>
          <cell r="D152" t="str">
            <v>KG</v>
          </cell>
          <cell r="E152" t="str">
            <v>Generator Kit</v>
          </cell>
          <cell r="F152" t="str">
            <v>S</v>
          </cell>
          <cell r="H152">
            <v>1874</v>
          </cell>
          <cell r="I152">
            <v>0</v>
          </cell>
          <cell r="J152">
            <v>160</v>
          </cell>
          <cell r="K152">
            <v>0.79161599999999999</v>
          </cell>
          <cell r="L152">
            <v>0</v>
          </cell>
          <cell r="M152">
            <v>0</v>
          </cell>
          <cell r="N152">
            <v>112</v>
          </cell>
          <cell r="O152">
            <v>76</v>
          </cell>
          <cell r="P152">
            <v>93</v>
          </cell>
        </row>
        <row r="153">
          <cell r="B153" t="str">
            <v>K</v>
          </cell>
          <cell r="C153">
            <v>46350</v>
          </cell>
          <cell r="D153" t="str">
            <v>KHB</v>
          </cell>
          <cell r="E153" t="str">
            <v>HF Radio Base Station</v>
          </cell>
          <cell r="F153" t="str">
            <v>S</v>
          </cell>
          <cell r="H153">
            <v>1972.25</v>
          </cell>
          <cell r="I153">
            <v>0</v>
          </cell>
          <cell r="J153">
            <v>15</v>
          </cell>
          <cell r="K153">
            <v>0.13200000000000001</v>
          </cell>
          <cell r="L153">
            <v>0</v>
          </cell>
          <cell r="M153">
            <v>0</v>
          </cell>
        </row>
        <row r="154">
          <cell r="B154" t="str">
            <v>K</v>
          </cell>
          <cell r="C154">
            <v>46205</v>
          </cell>
          <cell r="D154" t="str">
            <v>KHDF</v>
          </cell>
          <cell r="E154" t="str">
            <v>HF Data Modem Kit for KHB/5 (Codan NGT)</v>
          </cell>
          <cell r="F154" t="str">
            <v>S</v>
          </cell>
          <cell r="H154">
            <v>1167.3599999999999</v>
          </cell>
          <cell r="I154">
            <v>0</v>
          </cell>
          <cell r="J154">
            <v>9</v>
          </cell>
          <cell r="K154">
            <v>4.8551999999999998E-2</v>
          </cell>
          <cell r="L154">
            <v>0</v>
          </cell>
          <cell r="M154">
            <v>0</v>
          </cell>
          <cell r="N154">
            <v>51</v>
          </cell>
          <cell r="O154">
            <v>34</v>
          </cell>
          <cell r="P154">
            <v>28</v>
          </cell>
        </row>
        <row r="155">
          <cell r="B155" t="str">
            <v>K</v>
          </cell>
          <cell r="C155">
            <v>46351</v>
          </cell>
          <cell r="D155" t="str">
            <v>KHM</v>
          </cell>
          <cell r="E155" t="str">
            <v>HF Mobile Radio</v>
          </cell>
          <cell r="F155" t="str">
            <v>S</v>
          </cell>
          <cell r="H155">
            <v>1584.46</v>
          </cell>
          <cell r="I155">
            <v>0</v>
          </cell>
          <cell r="J155">
            <v>15.5</v>
          </cell>
          <cell r="K155">
            <v>0.112</v>
          </cell>
          <cell r="L155">
            <v>0</v>
          </cell>
          <cell r="M155">
            <v>0</v>
          </cell>
        </row>
        <row r="156">
          <cell r="B156" t="str">
            <v>K</v>
          </cell>
          <cell r="C156">
            <v>46350</v>
          </cell>
          <cell r="D156" t="str">
            <v>KHR</v>
          </cell>
          <cell r="E156" t="str">
            <v>Retrofit Kit for Upgrading of Code KHB</v>
          </cell>
          <cell r="F156" t="str">
            <v>S</v>
          </cell>
          <cell r="H156">
            <v>3035</v>
          </cell>
          <cell r="I156">
            <v>0</v>
          </cell>
          <cell r="J156">
            <v>7</v>
          </cell>
          <cell r="K156">
            <v>6.9599999999999995E-2</v>
          </cell>
          <cell r="L156">
            <v>0</v>
          </cell>
          <cell r="M156">
            <v>0</v>
          </cell>
          <cell r="N156">
            <v>58</v>
          </cell>
          <cell r="O156">
            <v>48</v>
          </cell>
          <cell r="P156">
            <v>25</v>
          </cell>
        </row>
        <row r="157">
          <cell r="B157" t="str">
            <v>K</v>
          </cell>
          <cell r="C157">
            <v>46352</v>
          </cell>
          <cell r="D157" t="str">
            <v>KI</v>
          </cell>
          <cell r="E157" t="str">
            <v>Inverter (12v to 220v AC /DC)</v>
          </cell>
          <cell r="F157" t="str">
            <v>S</v>
          </cell>
          <cell r="H157">
            <v>142.56</v>
          </cell>
          <cell r="I157">
            <v>0</v>
          </cell>
          <cell r="J157">
            <v>1</v>
          </cell>
          <cell r="K157">
            <v>3.6719999999999999E-3</v>
          </cell>
          <cell r="L157">
            <v>0</v>
          </cell>
          <cell r="M157">
            <v>0</v>
          </cell>
          <cell r="N157">
            <v>24</v>
          </cell>
          <cell r="O157">
            <v>17</v>
          </cell>
          <cell r="P157">
            <v>9</v>
          </cell>
        </row>
        <row r="158">
          <cell r="B158" t="str">
            <v>K</v>
          </cell>
          <cell r="C158">
            <v>46353</v>
          </cell>
          <cell r="D158" t="str">
            <v>KM</v>
          </cell>
          <cell r="E158" t="str">
            <v>Lightweight Antenna Mast Kit</v>
          </cell>
          <cell r="F158" t="str">
            <v>S</v>
          </cell>
          <cell r="H158">
            <v>400.23</v>
          </cell>
          <cell r="I158">
            <v>0</v>
          </cell>
          <cell r="J158">
            <v>48</v>
          </cell>
          <cell r="K158">
            <v>0.41471999999999998</v>
          </cell>
          <cell r="L158">
            <v>0</v>
          </cell>
          <cell r="M158">
            <v>0</v>
          </cell>
          <cell r="N158">
            <v>320</v>
          </cell>
          <cell r="O158">
            <v>36</v>
          </cell>
          <cell r="P158">
            <v>36</v>
          </cell>
        </row>
        <row r="159">
          <cell r="B159" t="str">
            <v>K</v>
          </cell>
          <cell r="C159">
            <v>46354</v>
          </cell>
          <cell r="D159" t="str">
            <v>KP</v>
          </cell>
          <cell r="E159" t="str">
            <v>Power Kit</v>
          </cell>
          <cell r="F159" t="str">
            <v>S</v>
          </cell>
          <cell r="H159">
            <v>824.95500000000004</v>
          </cell>
          <cell r="I159">
            <v>0</v>
          </cell>
          <cell r="J159">
            <v>50</v>
          </cell>
          <cell r="K159">
            <v>7.0559999999999998E-2</v>
          </cell>
          <cell r="L159">
            <v>0</v>
          </cell>
          <cell r="M159">
            <v>0</v>
          </cell>
          <cell r="N159">
            <v>42</v>
          </cell>
          <cell r="O159">
            <v>42</v>
          </cell>
          <cell r="P159">
            <v>40</v>
          </cell>
        </row>
        <row r="160">
          <cell r="B160" t="str">
            <v>K</v>
          </cell>
          <cell r="C160">
            <v>46309</v>
          </cell>
          <cell r="D160" t="str">
            <v>KSATF</v>
          </cell>
          <cell r="E160" t="str">
            <v>Fax Machine for use only with a Satphone Unit*</v>
          </cell>
          <cell r="F160" t="str">
            <v>S</v>
          </cell>
          <cell r="H160">
            <v>255</v>
          </cell>
          <cell r="I160">
            <v>0</v>
          </cell>
          <cell r="J160">
            <v>3</v>
          </cell>
          <cell r="K160">
            <v>2.6599999999999999E-2</v>
          </cell>
          <cell r="L160">
            <v>0</v>
          </cell>
          <cell r="M160">
            <v>0</v>
          </cell>
          <cell r="N160">
            <v>38</v>
          </cell>
          <cell r="O160">
            <v>25</v>
          </cell>
          <cell r="P160">
            <v>28</v>
          </cell>
        </row>
        <row r="161">
          <cell r="B161" t="str">
            <v>K</v>
          </cell>
          <cell r="C161">
            <v>46300</v>
          </cell>
          <cell r="D161" t="str">
            <v>KSATM</v>
          </cell>
          <cell r="E161" t="str">
            <v>Satellite Telephone Mini-M Unit*</v>
          </cell>
          <cell r="F161" t="str">
            <v>S</v>
          </cell>
          <cell r="H161">
            <v>1606</v>
          </cell>
          <cell r="I161">
            <v>0</v>
          </cell>
          <cell r="J161">
            <v>4</v>
          </cell>
          <cell r="K161">
            <v>1.7999999999999999E-2</v>
          </cell>
          <cell r="L161">
            <v>0</v>
          </cell>
          <cell r="M161">
            <v>0</v>
          </cell>
          <cell r="N161">
            <v>30</v>
          </cell>
          <cell r="O161">
            <v>40</v>
          </cell>
          <cell r="P161">
            <v>15</v>
          </cell>
        </row>
        <row r="162">
          <cell r="B162" t="str">
            <v>K</v>
          </cell>
          <cell r="C162">
            <v>46301</v>
          </cell>
          <cell r="D162" t="str">
            <v>KSATT</v>
          </cell>
          <cell r="E162" t="str">
            <v>Thuraya Handheld Satellite Telephone</v>
          </cell>
          <cell r="F162" t="str">
            <v>N</v>
          </cell>
          <cell r="H162">
            <v>770</v>
          </cell>
          <cell r="I162">
            <v>0</v>
          </cell>
          <cell r="J162">
            <v>1.4</v>
          </cell>
          <cell r="K162">
            <v>5.4000000000000003E-3</v>
          </cell>
          <cell r="L162">
            <v>0</v>
          </cell>
          <cell r="M162">
            <v>0</v>
          </cell>
          <cell r="N162">
            <v>18</v>
          </cell>
          <cell r="O162">
            <v>25</v>
          </cell>
          <cell r="P162">
            <v>12</v>
          </cell>
        </row>
        <row r="163">
          <cell r="B163" t="str">
            <v>K</v>
          </cell>
          <cell r="C163">
            <v>46300</v>
          </cell>
          <cell r="D163" t="str">
            <v>KSATX</v>
          </cell>
          <cell r="E163" t="str">
            <v>External 17 dB Gain Antenna</v>
          </cell>
          <cell r="F163" t="str">
            <v>N</v>
          </cell>
          <cell r="H163">
            <v>1335</v>
          </cell>
          <cell r="I163">
            <v>0</v>
          </cell>
          <cell r="J163">
            <v>7</v>
          </cell>
          <cell r="K163">
            <v>4.6367999999999999E-2</v>
          </cell>
          <cell r="L163">
            <v>0</v>
          </cell>
          <cell r="M163">
            <v>0</v>
          </cell>
          <cell r="N163">
            <v>69</v>
          </cell>
          <cell r="O163">
            <v>56</v>
          </cell>
          <cell r="P163">
            <v>12</v>
          </cell>
        </row>
        <row r="164">
          <cell r="B164" t="str">
            <v>K</v>
          </cell>
          <cell r="C164">
            <v>46355</v>
          </cell>
          <cell r="D164" t="str">
            <v>KSP</v>
          </cell>
          <cell r="E164" t="str">
            <v>Solar Power Kit</v>
          </cell>
          <cell r="F164" t="str">
            <v>S</v>
          </cell>
          <cell r="H164">
            <v>1060</v>
          </cell>
          <cell r="I164">
            <v>0</v>
          </cell>
          <cell r="J164">
            <v>60</v>
          </cell>
          <cell r="K164">
            <v>0.24192</v>
          </cell>
          <cell r="L164">
            <v>0</v>
          </cell>
          <cell r="M164">
            <v>0</v>
          </cell>
          <cell r="N164">
            <v>126</v>
          </cell>
          <cell r="O164">
            <v>60</v>
          </cell>
          <cell r="P164">
            <v>32</v>
          </cell>
        </row>
        <row r="165">
          <cell r="B165" t="str">
            <v>K</v>
          </cell>
          <cell r="C165">
            <v>46356</v>
          </cell>
          <cell r="D165" t="str">
            <v>KT</v>
          </cell>
          <cell r="E165" t="str">
            <v>Communications Tool Kit</v>
          </cell>
          <cell r="F165" t="str">
            <v>S</v>
          </cell>
          <cell r="H165">
            <v>308.97719999999998</v>
          </cell>
          <cell r="I165">
            <v>0</v>
          </cell>
          <cell r="J165">
            <v>32</v>
          </cell>
          <cell r="K165">
            <v>0.116688</v>
          </cell>
          <cell r="L165">
            <v>0</v>
          </cell>
          <cell r="M165">
            <v>0</v>
          </cell>
          <cell r="N165">
            <v>52</v>
          </cell>
          <cell r="O165">
            <v>34</v>
          </cell>
          <cell r="P165">
            <v>66</v>
          </cell>
        </row>
        <row r="166">
          <cell r="B166" t="str">
            <v>K</v>
          </cell>
          <cell r="C166">
            <v>46357</v>
          </cell>
          <cell r="D166" t="str">
            <v>KVHB</v>
          </cell>
          <cell r="E166" t="str">
            <v>VHF Base/Mobile Station</v>
          </cell>
          <cell r="F166" t="str">
            <v>S</v>
          </cell>
          <cell r="H166">
            <v>541.25</v>
          </cell>
          <cell r="I166">
            <v>0</v>
          </cell>
          <cell r="J166">
            <v>13</v>
          </cell>
          <cell r="K166">
            <v>0.10199999999999999</v>
          </cell>
          <cell r="L166">
            <v>0</v>
          </cell>
          <cell r="M166">
            <v>0</v>
          </cell>
          <cell r="N166">
            <v>136</v>
          </cell>
          <cell r="O166">
            <v>30</v>
          </cell>
          <cell r="P166">
            <v>25</v>
          </cell>
        </row>
        <row r="167">
          <cell r="B167" t="str">
            <v>K</v>
          </cell>
          <cell r="C167">
            <v>46358</v>
          </cell>
          <cell r="D167" t="str">
            <v>KVHW</v>
          </cell>
          <cell r="E167" t="str">
            <v>VHF Hand Portable Kit</v>
          </cell>
          <cell r="F167" t="str">
            <v>S</v>
          </cell>
          <cell r="H167">
            <v>1041.19</v>
          </cell>
          <cell r="I167">
            <v>0</v>
          </cell>
          <cell r="J167">
            <v>11</v>
          </cell>
          <cell r="K167">
            <v>5.67E-2</v>
          </cell>
          <cell r="L167">
            <v>0</v>
          </cell>
          <cell r="M167">
            <v>0</v>
          </cell>
          <cell r="N167">
            <v>45</v>
          </cell>
          <cell r="O167">
            <v>35</v>
          </cell>
          <cell r="P167">
            <v>36</v>
          </cell>
        </row>
        <row r="168">
          <cell r="B168" t="str">
            <v>L</v>
          </cell>
          <cell r="C168">
            <v>48160</v>
          </cell>
          <cell r="D168" t="str">
            <v>LD</v>
          </cell>
          <cell r="E168" t="str">
            <v>Latrine Digging Kit</v>
          </cell>
          <cell r="F168" t="str">
            <v>S</v>
          </cell>
          <cell r="H168">
            <v>482.19240000000002</v>
          </cell>
          <cell r="I168">
            <v>0</v>
          </cell>
          <cell r="J168">
            <v>208</v>
          </cell>
          <cell r="K168">
            <v>0.93920800000000004</v>
          </cell>
          <cell r="L168">
            <v>0</v>
          </cell>
          <cell r="M168">
            <v>0</v>
          </cell>
          <cell r="N168">
            <v>167</v>
          </cell>
          <cell r="O168">
            <v>76</v>
          </cell>
          <cell r="P168">
            <v>74</v>
          </cell>
        </row>
        <row r="169">
          <cell r="B169" t="str">
            <v>L</v>
          </cell>
          <cell r="C169">
            <v>48160</v>
          </cell>
          <cell r="D169" t="str">
            <v>LF</v>
          </cell>
          <cell r="E169" t="str">
            <v>Defecation Field/Trench Latrine Kit</v>
          </cell>
          <cell r="F169" t="str">
            <v>S</v>
          </cell>
          <cell r="H169">
            <v>217.23</v>
          </cell>
          <cell r="I169">
            <v>0</v>
          </cell>
          <cell r="J169">
            <v>56</v>
          </cell>
          <cell r="K169">
            <v>0.62568000000000001</v>
          </cell>
          <cell r="L169">
            <v>0</v>
          </cell>
          <cell r="M169">
            <v>0</v>
          </cell>
          <cell r="N169">
            <v>132</v>
          </cell>
          <cell r="O169">
            <v>60</v>
          </cell>
          <cell r="P169">
            <v>79</v>
          </cell>
        </row>
        <row r="170">
          <cell r="B170" t="str">
            <v>L</v>
          </cell>
          <cell r="C170">
            <v>48161</v>
          </cell>
          <cell r="D170" t="str">
            <v>LOP</v>
          </cell>
          <cell r="E170" t="str">
            <v>Self-supporting plastic squatting plate x 17</v>
          </cell>
          <cell r="F170" t="str">
            <v>S</v>
          </cell>
          <cell r="H170">
            <v>414.12</v>
          </cell>
          <cell r="I170">
            <v>0</v>
          </cell>
          <cell r="J170">
            <v>228</v>
          </cell>
          <cell r="K170">
            <v>2.5409999999999999</v>
          </cell>
          <cell r="L170">
            <v>0</v>
          </cell>
          <cell r="M170">
            <v>0</v>
          </cell>
          <cell r="N170">
            <v>121</v>
          </cell>
          <cell r="O170">
            <v>105</v>
          </cell>
          <cell r="P170">
            <v>200</v>
          </cell>
        </row>
        <row r="171">
          <cell r="B171" t="str">
            <v>L</v>
          </cell>
          <cell r="C171">
            <v>48161</v>
          </cell>
          <cell r="D171" t="str">
            <v>LP</v>
          </cell>
          <cell r="E171" t="str">
            <v>Plastic Squatting Plates</v>
          </cell>
          <cell r="F171" t="str">
            <v>S</v>
          </cell>
          <cell r="H171">
            <v>102</v>
          </cell>
          <cell r="I171">
            <v>0</v>
          </cell>
          <cell r="J171">
            <v>39</v>
          </cell>
          <cell r="K171">
            <v>0.23400000000000001</v>
          </cell>
          <cell r="L171">
            <v>0</v>
          </cell>
          <cell r="M171">
            <v>0</v>
          </cell>
          <cell r="N171">
            <v>78</v>
          </cell>
          <cell r="O171">
            <v>60</v>
          </cell>
          <cell r="P171">
            <v>50</v>
          </cell>
        </row>
        <row r="172">
          <cell r="B172" t="str">
            <v>L</v>
          </cell>
          <cell r="C172">
            <v>48162</v>
          </cell>
          <cell r="D172" t="str">
            <v>LS</v>
          </cell>
          <cell r="E172" t="str">
            <v>Latrine Slab Kit</v>
          </cell>
          <cell r="F172" t="str">
            <v>S</v>
          </cell>
          <cell r="H172">
            <v>1659.29</v>
          </cell>
          <cell r="I172">
            <v>0</v>
          </cell>
          <cell r="J172">
            <v>265</v>
          </cell>
          <cell r="K172">
            <v>1.1770080000000001</v>
          </cell>
          <cell r="L172">
            <v>0</v>
          </cell>
          <cell r="M172">
            <v>0</v>
          </cell>
          <cell r="N172">
            <v>186</v>
          </cell>
          <cell r="O172">
            <v>113</v>
          </cell>
          <cell r="P172">
            <v>56</v>
          </cell>
        </row>
        <row r="173">
          <cell r="B173" t="str">
            <v>L</v>
          </cell>
          <cell r="C173">
            <v>48165</v>
          </cell>
          <cell r="D173" t="str">
            <v>LSP</v>
          </cell>
          <cell r="E173" t="str">
            <v>Sanplat Latrine Slab Mould</v>
          </cell>
          <cell r="F173" t="str">
            <v>S</v>
          </cell>
          <cell r="H173">
            <v>52.28</v>
          </cell>
          <cell r="I173">
            <v>0</v>
          </cell>
          <cell r="J173">
            <v>4</v>
          </cell>
          <cell r="K173">
            <v>4.7960999999999997E-2</v>
          </cell>
          <cell r="L173">
            <v>0</v>
          </cell>
          <cell r="M173">
            <v>0</v>
          </cell>
          <cell r="N173">
            <v>73</v>
          </cell>
          <cell r="O173">
            <v>73</v>
          </cell>
          <cell r="P173">
            <v>9</v>
          </cell>
        </row>
        <row r="174">
          <cell r="B174" t="str">
            <v>L</v>
          </cell>
          <cell r="C174">
            <v>48163</v>
          </cell>
          <cell r="D174" t="str">
            <v>LST</v>
          </cell>
          <cell r="E174" t="str">
            <v>Emergency Latrine Superstructure (10 blocks of 4)</v>
          </cell>
          <cell r="F174" t="str">
            <v>S</v>
          </cell>
          <cell r="H174">
            <v>1060</v>
          </cell>
          <cell r="I174">
            <v>0</v>
          </cell>
          <cell r="J174">
            <v>265</v>
          </cell>
          <cell r="K174">
            <v>0.108</v>
          </cell>
          <cell r="L174">
            <v>0</v>
          </cell>
          <cell r="M174">
            <v>0</v>
          </cell>
          <cell r="N174">
            <v>30</v>
          </cell>
          <cell r="O174">
            <v>30</v>
          </cell>
          <cell r="P174">
            <v>120</v>
          </cell>
        </row>
        <row r="175">
          <cell r="B175" t="str">
            <v>N</v>
          </cell>
          <cell r="C175">
            <v>48351</v>
          </cell>
          <cell r="D175" t="str">
            <v>NKIT1</v>
          </cell>
          <cell r="E175" t="str">
            <v>Anthropometric</v>
          </cell>
          <cell r="F175" t="str">
            <v>S</v>
          </cell>
          <cell r="H175">
            <v>327</v>
          </cell>
          <cell r="I175">
            <v>0</v>
          </cell>
          <cell r="J175">
            <v>26</v>
          </cell>
          <cell r="K175">
            <v>0.21895999999999999</v>
          </cell>
          <cell r="L175">
            <v>0</v>
          </cell>
          <cell r="M175">
            <v>0</v>
          </cell>
          <cell r="N175">
            <v>136</v>
          </cell>
          <cell r="O175">
            <v>35</v>
          </cell>
          <cell r="P175">
            <v>46</v>
          </cell>
        </row>
        <row r="176">
          <cell r="B176" t="str">
            <v>N</v>
          </cell>
          <cell r="C176">
            <v>48351</v>
          </cell>
          <cell r="D176" t="str">
            <v>NKIT2</v>
          </cell>
          <cell r="E176" t="str">
            <v>Supplementary Feeding (Wet)</v>
          </cell>
          <cell r="F176" t="str">
            <v>S</v>
          </cell>
          <cell r="H176">
            <v>755</v>
          </cell>
          <cell r="I176">
            <v>0</v>
          </cell>
          <cell r="J176">
            <v>110</v>
          </cell>
          <cell r="K176">
            <v>0.85680000000000001</v>
          </cell>
          <cell r="L176">
            <v>0</v>
          </cell>
          <cell r="M176">
            <v>0</v>
          </cell>
          <cell r="N176">
            <v>140</v>
          </cell>
          <cell r="O176">
            <v>68</v>
          </cell>
          <cell r="P176">
            <v>90</v>
          </cell>
        </row>
        <row r="177">
          <cell r="B177" t="str">
            <v>N</v>
          </cell>
          <cell r="C177">
            <v>48359</v>
          </cell>
          <cell r="D177" t="str">
            <v>NKIT2A</v>
          </cell>
          <cell r="E177" t="str">
            <v>Registration Kit for Supplementary Feeding (Wet)</v>
          </cell>
          <cell r="F177" t="str">
            <v>S</v>
          </cell>
          <cell r="H177">
            <v>136</v>
          </cell>
          <cell r="I177">
            <v>0</v>
          </cell>
          <cell r="J177">
            <v>16</v>
          </cell>
          <cell r="K177">
            <v>7.9523999999999997E-2</v>
          </cell>
          <cell r="L177">
            <v>0</v>
          </cell>
          <cell r="M177">
            <v>0</v>
          </cell>
          <cell r="N177">
            <v>47</v>
          </cell>
          <cell r="O177">
            <v>47</v>
          </cell>
          <cell r="P177">
            <v>36</v>
          </cell>
        </row>
        <row r="178">
          <cell r="B178" t="str">
            <v>N</v>
          </cell>
          <cell r="C178">
            <v>48351</v>
          </cell>
          <cell r="D178" t="str">
            <v>NKIT3</v>
          </cell>
          <cell r="E178" t="str">
            <v>Supplementary Feeding (Dry)</v>
          </cell>
          <cell r="F178" t="str">
            <v>S</v>
          </cell>
          <cell r="H178">
            <v>335</v>
          </cell>
          <cell r="I178">
            <v>0</v>
          </cell>
          <cell r="J178">
            <v>47</v>
          </cell>
          <cell r="K178">
            <v>0.48</v>
          </cell>
          <cell r="L178">
            <v>0</v>
          </cell>
          <cell r="M178">
            <v>0</v>
          </cell>
          <cell r="N178">
            <v>80</v>
          </cell>
          <cell r="O178">
            <v>80</v>
          </cell>
          <cell r="P178">
            <v>75</v>
          </cell>
        </row>
        <row r="179">
          <cell r="B179" t="str">
            <v>N</v>
          </cell>
          <cell r="C179">
            <v>48359</v>
          </cell>
          <cell r="D179" t="str">
            <v>NKIT3A</v>
          </cell>
          <cell r="E179" t="str">
            <v>Registration Kit for Supplementary Feeding (Dry)</v>
          </cell>
          <cell r="F179" t="str">
            <v>S</v>
          </cell>
          <cell r="H179">
            <v>212</v>
          </cell>
          <cell r="I179">
            <v>0</v>
          </cell>
          <cell r="J179">
            <v>18</v>
          </cell>
          <cell r="K179">
            <v>7.9523999999999997E-2</v>
          </cell>
          <cell r="L179">
            <v>0</v>
          </cell>
          <cell r="M179">
            <v>0</v>
          </cell>
          <cell r="N179">
            <v>47</v>
          </cell>
          <cell r="O179">
            <v>47</v>
          </cell>
          <cell r="P179">
            <v>36</v>
          </cell>
        </row>
        <row r="180">
          <cell r="B180" t="str">
            <v>N</v>
          </cell>
          <cell r="C180">
            <v>48351</v>
          </cell>
          <cell r="D180" t="str">
            <v>NKIT4</v>
          </cell>
          <cell r="E180" t="str">
            <v>Therapeutic Feeding</v>
          </cell>
          <cell r="F180" t="str">
            <v>S</v>
          </cell>
          <cell r="H180">
            <v>744</v>
          </cell>
          <cell r="I180">
            <v>0</v>
          </cell>
          <cell r="J180">
            <v>107</v>
          </cell>
          <cell r="K180">
            <v>0.85680000000000001</v>
          </cell>
          <cell r="L180">
            <v>0</v>
          </cell>
          <cell r="M180">
            <v>0</v>
          </cell>
          <cell r="N180">
            <v>140</v>
          </cell>
          <cell r="O180">
            <v>68</v>
          </cell>
          <cell r="P180">
            <v>90</v>
          </cell>
        </row>
        <row r="181">
          <cell r="B181" t="str">
            <v>N</v>
          </cell>
          <cell r="C181">
            <v>48359</v>
          </cell>
          <cell r="D181" t="str">
            <v>NKIT4A</v>
          </cell>
          <cell r="E181" t="str">
            <v>Registration Kit for Therapeutic Feeding</v>
          </cell>
          <cell r="F181" t="str">
            <v>S</v>
          </cell>
          <cell r="H181">
            <v>121</v>
          </cell>
          <cell r="I181">
            <v>0</v>
          </cell>
          <cell r="J181">
            <v>22</v>
          </cell>
          <cell r="K181">
            <v>7.9523999999999997E-2</v>
          </cell>
          <cell r="L181">
            <v>0</v>
          </cell>
          <cell r="M181">
            <v>0</v>
          </cell>
          <cell r="N181">
            <v>47</v>
          </cell>
          <cell r="O181">
            <v>47</v>
          </cell>
          <cell r="P181">
            <v>36</v>
          </cell>
        </row>
        <row r="182">
          <cell r="B182" t="str">
            <v>O</v>
          </cell>
          <cell r="C182">
            <v>48199</v>
          </cell>
          <cell r="D182" t="str">
            <v>OB1</v>
          </cell>
          <cell r="E182" t="str">
            <v>Tool Box</v>
          </cell>
          <cell r="F182" t="str">
            <v>S</v>
          </cell>
          <cell r="H182">
            <v>92</v>
          </cell>
          <cell r="I182">
            <v>0</v>
          </cell>
          <cell r="J182">
            <v>28</v>
          </cell>
          <cell r="K182">
            <v>0.16758000000000001</v>
          </cell>
          <cell r="L182">
            <v>0</v>
          </cell>
          <cell r="M182">
            <v>0</v>
          </cell>
          <cell r="N182">
            <v>98</v>
          </cell>
          <cell r="O182">
            <v>38</v>
          </cell>
          <cell r="P182">
            <v>45</v>
          </cell>
        </row>
        <row r="183">
          <cell r="B183" t="str">
            <v>O</v>
          </cell>
          <cell r="C183">
            <v>48199</v>
          </cell>
          <cell r="D183" t="str">
            <v>OB2</v>
          </cell>
          <cell r="E183" t="str">
            <v>Tool Box</v>
          </cell>
          <cell r="F183" t="str">
            <v>S</v>
          </cell>
          <cell r="H183">
            <v>96.43</v>
          </cell>
          <cell r="I183">
            <v>0</v>
          </cell>
          <cell r="J183">
            <v>38</v>
          </cell>
          <cell r="K183">
            <v>0.27348</v>
          </cell>
          <cell r="L183">
            <v>0</v>
          </cell>
          <cell r="M183">
            <v>0</v>
          </cell>
          <cell r="N183">
            <v>86</v>
          </cell>
          <cell r="O183">
            <v>53</v>
          </cell>
          <cell r="P183">
            <v>60</v>
          </cell>
        </row>
        <row r="184">
          <cell r="B184" t="str">
            <v>O</v>
          </cell>
          <cell r="C184">
            <v>48180</v>
          </cell>
          <cell r="D184" t="str">
            <v>OE</v>
          </cell>
          <cell r="E184" t="str">
            <v>Engineers Tool Kit</v>
          </cell>
          <cell r="F184" t="str">
            <v>S</v>
          </cell>
          <cell r="G184">
            <v>1</v>
          </cell>
          <cell r="H184">
            <v>821.45</v>
          </cell>
          <cell r="I184">
            <v>821.45</v>
          </cell>
          <cell r="J184">
            <v>95</v>
          </cell>
          <cell r="K184">
            <v>0.3256</v>
          </cell>
          <cell r="L184">
            <v>95</v>
          </cell>
          <cell r="M184">
            <v>0.3256</v>
          </cell>
          <cell r="N184">
            <v>80</v>
          </cell>
          <cell r="O184">
            <v>55</v>
          </cell>
          <cell r="P184">
            <v>74</v>
          </cell>
        </row>
        <row r="185">
          <cell r="B185" t="str">
            <v>O</v>
          </cell>
          <cell r="C185">
            <v>48239</v>
          </cell>
          <cell r="D185" t="str">
            <v>OL</v>
          </cell>
          <cell r="E185" t="str">
            <v>Ladder for Tank Erection</v>
          </cell>
          <cell r="F185" t="str">
            <v>S</v>
          </cell>
          <cell r="H185">
            <v>62</v>
          </cell>
          <cell r="I185">
            <v>0</v>
          </cell>
          <cell r="J185">
            <v>10</v>
          </cell>
          <cell r="K185">
            <v>0.189</v>
          </cell>
          <cell r="L185">
            <v>0</v>
          </cell>
          <cell r="M185">
            <v>0</v>
          </cell>
          <cell r="N185">
            <v>250</v>
          </cell>
          <cell r="O185">
            <v>42</v>
          </cell>
          <cell r="P185">
            <v>18</v>
          </cell>
        </row>
        <row r="186">
          <cell r="B186" t="str">
            <v>O</v>
          </cell>
          <cell r="C186">
            <v>48181</v>
          </cell>
          <cell r="D186" t="str">
            <v>OM</v>
          </cell>
          <cell r="E186" t="str">
            <v>Mechanics Tool Kit</v>
          </cell>
          <cell r="F186" t="str">
            <v>S</v>
          </cell>
          <cell r="G186">
            <v>1</v>
          </cell>
          <cell r="H186">
            <v>540.97</v>
          </cell>
          <cell r="I186">
            <v>540.97</v>
          </cell>
          <cell r="J186">
            <v>96</v>
          </cell>
          <cell r="K186">
            <v>0.22701199999999999</v>
          </cell>
          <cell r="L186">
            <v>96</v>
          </cell>
          <cell r="M186">
            <v>0.22701199999999999</v>
          </cell>
          <cell r="N186">
            <v>103</v>
          </cell>
          <cell r="O186">
            <v>38</v>
          </cell>
          <cell r="P186">
            <v>58</v>
          </cell>
        </row>
        <row r="187">
          <cell r="B187" t="str">
            <v>O</v>
          </cell>
          <cell r="C187">
            <v>48199</v>
          </cell>
          <cell r="D187" t="str">
            <v>OP2</v>
          </cell>
          <cell r="E187" t="str">
            <v>Container Padlock</v>
          </cell>
          <cell r="F187" t="str">
            <v>S</v>
          </cell>
          <cell r="H187">
            <v>19.559999999999999</v>
          </cell>
          <cell r="I187">
            <v>0</v>
          </cell>
          <cell r="J187">
            <v>0.3</v>
          </cell>
          <cell r="K187">
            <v>1.9999999999999999E-6</v>
          </cell>
          <cell r="L187">
            <v>0</v>
          </cell>
          <cell r="M187">
            <v>0</v>
          </cell>
          <cell r="N187">
            <v>2</v>
          </cell>
          <cell r="O187">
            <v>1</v>
          </cell>
          <cell r="P187">
            <v>1</v>
          </cell>
        </row>
        <row r="188">
          <cell r="B188" t="str">
            <v>O</v>
          </cell>
          <cell r="C188">
            <v>48182</v>
          </cell>
          <cell r="D188" t="str">
            <v>OS</v>
          </cell>
          <cell r="E188" t="str">
            <v>Site Tool Kit</v>
          </cell>
          <cell r="F188" t="str">
            <v>S</v>
          </cell>
          <cell r="G188">
            <v>1</v>
          </cell>
          <cell r="H188">
            <v>555.63</v>
          </cell>
          <cell r="I188">
            <v>555.63</v>
          </cell>
          <cell r="J188">
            <v>78</v>
          </cell>
          <cell r="K188">
            <v>0.18076500000000001</v>
          </cell>
          <cell r="L188">
            <v>78</v>
          </cell>
          <cell r="M188">
            <v>0.18076500000000001</v>
          </cell>
          <cell r="N188">
            <v>45</v>
          </cell>
          <cell r="O188">
            <v>103</v>
          </cell>
          <cell r="P188">
            <v>39</v>
          </cell>
        </row>
        <row r="189">
          <cell r="B189" t="str">
            <v>O</v>
          </cell>
          <cell r="C189">
            <v>48239</v>
          </cell>
          <cell r="D189" t="str">
            <v>OT</v>
          </cell>
          <cell r="E189" t="str">
            <v>Scaffolding Tower</v>
          </cell>
          <cell r="F189" t="str">
            <v>S</v>
          </cell>
          <cell r="H189">
            <v>434</v>
          </cell>
          <cell r="I189">
            <v>0</v>
          </cell>
          <cell r="J189">
            <v>95</v>
          </cell>
          <cell r="K189">
            <v>0.9</v>
          </cell>
          <cell r="L189">
            <v>0</v>
          </cell>
          <cell r="M189">
            <v>0</v>
          </cell>
          <cell r="N189">
            <v>240</v>
          </cell>
          <cell r="O189">
            <v>75</v>
          </cell>
          <cell r="P189">
            <v>50</v>
          </cell>
        </row>
        <row r="190">
          <cell r="B190" t="str">
            <v>P</v>
          </cell>
          <cell r="C190">
            <v>48200</v>
          </cell>
          <cell r="D190" t="str">
            <v>P2-ALLI</v>
          </cell>
          <cell r="E190" t="str">
            <v>2" Atalanta Swallow 2100/Lister AC1 Diesel Pu</v>
          </cell>
          <cell r="F190" t="str">
            <v>S</v>
          </cell>
          <cell r="H190">
            <v>2211.6822999999999</v>
          </cell>
          <cell r="I190">
            <v>0</v>
          </cell>
          <cell r="J190">
            <v>326</v>
          </cell>
          <cell r="K190">
            <v>1.3851</v>
          </cell>
          <cell r="L190">
            <v>0</v>
          </cell>
          <cell r="M190">
            <v>0</v>
          </cell>
          <cell r="N190">
            <v>135</v>
          </cell>
          <cell r="O190">
            <v>76</v>
          </cell>
          <cell r="P190">
            <v>135</v>
          </cell>
        </row>
        <row r="191">
          <cell r="B191" t="str">
            <v>P</v>
          </cell>
          <cell r="C191">
            <v>48200</v>
          </cell>
          <cell r="D191" t="str">
            <v>P4-ALLI</v>
          </cell>
          <cell r="E191" t="str">
            <v>4" Atalanta Ospray 422 Pumpset Kit,Lister TS2</v>
          </cell>
          <cell r="F191" t="str">
            <v>S</v>
          </cell>
          <cell r="H191">
            <v>3548.5951</v>
          </cell>
          <cell r="I191">
            <v>0</v>
          </cell>
          <cell r="J191">
            <v>526</v>
          </cell>
          <cell r="K191">
            <v>2.1695319999999998</v>
          </cell>
          <cell r="L191">
            <v>0</v>
          </cell>
          <cell r="M191">
            <v>0</v>
          </cell>
          <cell r="N191">
            <v>148</v>
          </cell>
          <cell r="O191">
            <v>107</v>
          </cell>
          <cell r="P191">
            <v>137</v>
          </cell>
        </row>
        <row r="192">
          <cell r="B192" t="str">
            <v>P</v>
          </cell>
          <cell r="C192">
            <v>48202</v>
          </cell>
          <cell r="D192" t="str">
            <v>P4-ALLO</v>
          </cell>
          <cell r="E192" t="str">
            <v>4" Atalanta Osprey 452 Lombardini Eng + Hose</v>
          </cell>
          <cell r="F192" t="str">
            <v>N</v>
          </cell>
          <cell r="H192">
            <v>2829</v>
          </cell>
          <cell r="I192">
            <v>0</v>
          </cell>
          <cell r="J192">
            <v>544</v>
          </cell>
          <cell r="K192">
            <v>2.55192</v>
          </cell>
          <cell r="L192">
            <v>0</v>
          </cell>
          <cell r="M192">
            <v>0</v>
          </cell>
          <cell r="N192">
            <v>147</v>
          </cell>
          <cell r="O192">
            <v>124</v>
          </cell>
          <cell r="P192">
            <v>140</v>
          </cell>
        </row>
        <row r="193">
          <cell r="B193" t="str">
            <v>P</v>
          </cell>
          <cell r="C193">
            <v>48200</v>
          </cell>
          <cell r="D193" t="str">
            <v>P4H-PSLI</v>
          </cell>
          <cell r="E193" t="str">
            <v>4" Atalanta Condor 1001 Pumpset Kit Lister</v>
          </cell>
          <cell r="F193" t="str">
            <v>S</v>
          </cell>
          <cell r="H193">
            <v>6172.1</v>
          </cell>
          <cell r="I193">
            <v>0</v>
          </cell>
          <cell r="J193">
            <v>712</v>
          </cell>
          <cell r="K193">
            <v>2.4514</v>
          </cell>
          <cell r="L193">
            <v>0</v>
          </cell>
          <cell r="M193">
            <v>0</v>
          </cell>
          <cell r="N193">
            <v>170</v>
          </cell>
          <cell r="O193">
            <v>103</v>
          </cell>
          <cell r="P193">
            <v>140</v>
          </cell>
        </row>
        <row r="194">
          <cell r="B194" t="str">
            <v>P</v>
          </cell>
          <cell r="C194">
            <v>48202</v>
          </cell>
          <cell r="D194" t="str">
            <v>PE2-LI</v>
          </cell>
          <cell r="E194" t="str">
            <v>Lister AC1 Engine Overhaul Kit</v>
          </cell>
          <cell r="F194" t="str">
            <v>S</v>
          </cell>
          <cell r="H194">
            <v>422.45</v>
          </cell>
          <cell r="I194">
            <v>0</v>
          </cell>
          <cell r="J194">
            <v>8</v>
          </cell>
          <cell r="K194">
            <v>9.8154000000000005E-2</v>
          </cell>
          <cell r="L194">
            <v>0</v>
          </cell>
          <cell r="M194">
            <v>0</v>
          </cell>
          <cell r="N194">
            <v>57</v>
          </cell>
          <cell r="O194">
            <v>41</v>
          </cell>
          <cell r="P194">
            <v>42</v>
          </cell>
        </row>
        <row r="195">
          <cell r="B195" t="str">
            <v>P</v>
          </cell>
          <cell r="C195">
            <v>48202</v>
          </cell>
          <cell r="D195" t="str">
            <v>PE4H-LI</v>
          </cell>
          <cell r="E195" t="str">
            <v>Lister TS3 Engine Overhaul Kit With Agglomerator</v>
          </cell>
          <cell r="F195" t="str">
            <v>S</v>
          </cell>
          <cell r="H195">
            <v>804.95</v>
          </cell>
          <cell r="I195">
            <v>0</v>
          </cell>
          <cell r="J195">
            <v>23</v>
          </cell>
          <cell r="K195">
            <v>8.9913000000000007E-2</v>
          </cell>
          <cell r="L195">
            <v>0</v>
          </cell>
          <cell r="M195">
            <v>0</v>
          </cell>
          <cell r="N195">
            <v>51</v>
          </cell>
          <cell r="O195">
            <v>41</v>
          </cell>
          <cell r="P195">
            <v>43</v>
          </cell>
        </row>
        <row r="196">
          <cell r="B196" t="str">
            <v>P</v>
          </cell>
          <cell r="C196">
            <v>48202</v>
          </cell>
          <cell r="D196" t="str">
            <v>PE4-LI</v>
          </cell>
          <cell r="E196" t="str">
            <v>Lister TS2 Engine Overhaul Kit With Agglomerator</v>
          </cell>
          <cell r="F196" t="str">
            <v>S</v>
          </cell>
          <cell r="H196">
            <v>542.55290000000002</v>
          </cell>
          <cell r="I196">
            <v>0</v>
          </cell>
          <cell r="J196">
            <v>22</v>
          </cell>
          <cell r="K196">
            <v>0.125</v>
          </cell>
          <cell r="L196">
            <v>0</v>
          </cell>
          <cell r="M196">
            <v>0</v>
          </cell>
          <cell r="N196">
            <v>50</v>
          </cell>
          <cell r="O196">
            <v>50</v>
          </cell>
          <cell r="P196">
            <v>50</v>
          </cell>
        </row>
        <row r="197">
          <cell r="B197" t="str">
            <v>P</v>
          </cell>
          <cell r="C197">
            <v>48202</v>
          </cell>
          <cell r="D197" t="str">
            <v>PE4-LO</v>
          </cell>
          <cell r="E197" t="str">
            <v>Lombardini Engine Overhaul Kit</v>
          </cell>
          <cell r="F197" t="str">
            <v>N</v>
          </cell>
          <cell r="H197">
            <v>455.5</v>
          </cell>
          <cell r="I197">
            <v>0</v>
          </cell>
          <cell r="J197">
            <v>16</v>
          </cell>
          <cell r="K197">
            <v>5.1182999999999999E-2</v>
          </cell>
          <cell r="L197">
            <v>0</v>
          </cell>
          <cell r="M197">
            <v>0</v>
          </cell>
          <cell r="N197">
            <v>47</v>
          </cell>
          <cell r="O197">
            <v>33</v>
          </cell>
          <cell r="P197">
            <v>33</v>
          </cell>
        </row>
        <row r="198">
          <cell r="B198" t="str">
            <v>P</v>
          </cell>
          <cell r="C198">
            <v>48202</v>
          </cell>
          <cell r="D198" t="str">
            <v>PF</v>
          </cell>
          <cell r="E198" t="str">
            <v>Pump Fittings Kit</v>
          </cell>
          <cell r="F198" t="str">
            <v>S</v>
          </cell>
          <cell r="H198">
            <v>77.55</v>
          </cell>
          <cell r="I198">
            <v>0</v>
          </cell>
          <cell r="J198">
            <v>10</v>
          </cell>
          <cell r="K198">
            <v>1.9550000000000001E-2</v>
          </cell>
          <cell r="L198">
            <v>0</v>
          </cell>
          <cell r="M198">
            <v>0</v>
          </cell>
          <cell r="N198">
            <v>34</v>
          </cell>
          <cell r="O198">
            <v>25</v>
          </cell>
          <cell r="P198">
            <v>23</v>
          </cell>
        </row>
        <row r="199">
          <cell r="B199" t="str">
            <v>P</v>
          </cell>
          <cell r="C199">
            <v>48201</v>
          </cell>
          <cell r="D199" t="str">
            <v>PO</v>
          </cell>
          <cell r="E199" t="str">
            <v>Pump Oil Kit</v>
          </cell>
          <cell r="F199" t="str">
            <v>S</v>
          </cell>
          <cell r="G199">
            <v>4</v>
          </cell>
          <cell r="H199">
            <v>128.44329999999999</v>
          </cell>
          <cell r="I199">
            <v>513.77319999999997</v>
          </cell>
          <cell r="J199">
            <v>68</v>
          </cell>
          <cell r="K199">
            <v>0.21348400000000001</v>
          </cell>
          <cell r="L199">
            <v>272</v>
          </cell>
          <cell r="M199">
            <v>0.85393600000000003</v>
          </cell>
          <cell r="N199">
            <v>53</v>
          </cell>
          <cell r="O199">
            <v>38</v>
          </cell>
          <cell r="P199">
            <v>106</v>
          </cell>
        </row>
        <row r="200">
          <cell r="B200" t="str">
            <v>P</v>
          </cell>
          <cell r="C200">
            <v>48200</v>
          </cell>
          <cell r="D200" t="str">
            <v>PR2-ALBS</v>
          </cell>
          <cell r="E200" t="str">
            <v>2"Pumpsets Kestrel 101 Brigs + Stratton,</v>
          </cell>
          <cell r="F200" t="str">
            <v>S</v>
          </cell>
          <cell r="H200">
            <v>436.9</v>
          </cell>
          <cell r="I200">
            <v>0</v>
          </cell>
          <cell r="J200">
            <v>52</v>
          </cell>
          <cell r="K200">
            <v>0.24887999999999999</v>
          </cell>
          <cell r="L200">
            <v>0</v>
          </cell>
          <cell r="M200">
            <v>0</v>
          </cell>
          <cell r="N200">
            <v>80</v>
          </cell>
          <cell r="O200">
            <v>51</v>
          </cell>
          <cell r="P200">
            <v>61</v>
          </cell>
        </row>
        <row r="201">
          <cell r="B201" t="str">
            <v>P</v>
          </cell>
          <cell r="C201">
            <v>48202</v>
          </cell>
          <cell r="D201" t="str">
            <v>PRG</v>
          </cell>
          <cell r="E201" t="str">
            <v>Revolution &amp; Frequency Gauge for Measuring Pump RPM</v>
          </cell>
          <cell r="F201" t="str">
            <v>S</v>
          </cell>
          <cell r="H201">
            <v>7.39</v>
          </cell>
          <cell r="I201">
            <v>0</v>
          </cell>
          <cell r="J201">
            <v>0.1</v>
          </cell>
          <cell r="K201">
            <v>5.0000000000000002E-5</v>
          </cell>
          <cell r="L201">
            <v>0</v>
          </cell>
          <cell r="M201">
            <v>0</v>
          </cell>
          <cell r="N201">
            <v>5</v>
          </cell>
          <cell r="O201">
            <v>2</v>
          </cell>
          <cell r="P201">
            <v>5</v>
          </cell>
        </row>
        <row r="202">
          <cell r="B202" t="str">
            <v>P</v>
          </cell>
          <cell r="C202">
            <v>48202</v>
          </cell>
          <cell r="D202" t="str">
            <v>PS2-AL</v>
          </cell>
          <cell r="E202" t="str">
            <v>2" Atalanta Swallow 2100 Pump Major Report Kit</v>
          </cell>
          <cell r="F202" t="str">
            <v>S</v>
          </cell>
          <cell r="H202">
            <v>102.75</v>
          </cell>
          <cell r="I202">
            <v>0</v>
          </cell>
          <cell r="J202">
            <v>3</v>
          </cell>
          <cell r="K202">
            <v>2.7347E-2</v>
          </cell>
          <cell r="L202">
            <v>0</v>
          </cell>
          <cell r="M202">
            <v>0</v>
          </cell>
          <cell r="N202">
            <v>41</v>
          </cell>
          <cell r="O202">
            <v>29</v>
          </cell>
          <cell r="P202">
            <v>23</v>
          </cell>
        </row>
        <row r="203">
          <cell r="B203" t="str">
            <v>P</v>
          </cell>
          <cell r="C203">
            <v>48202</v>
          </cell>
          <cell r="D203" t="str">
            <v>PS4-AL</v>
          </cell>
          <cell r="E203" t="str">
            <v>4" Atalanta Osprey 422/452 Pump Major Repair</v>
          </cell>
          <cell r="F203" t="str">
            <v>S</v>
          </cell>
          <cell r="H203">
            <v>187.33</v>
          </cell>
          <cell r="I203">
            <v>0</v>
          </cell>
          <cell r="J203">
            <v>5</v>
          </cell>
          <cell r="K203">
            <v>2.6818000000000002E-2</v>
          </cell>
          <cell r="L203">
            <v>0</v>
          </cell>
          <cell r="M203">
            <v>0</v>
          </cell>
          <cell r="N203">
            <v>22</v>
          </cell>
          <cell r="O203">
            <v>23</v>
          </cell>
          <cell r="P203">
            <v>53</v>
          </cell>
        </row>
        <row r="204">
          <cell r="B204" t="str">
            <v>P</v>
          </cell>
          <cell r="C204">
            <v>48202</v>
          </cell>
          <cell r="D204" t="str">
            <v>PS4H-PS</v>
          </cell>
          <cell r="E204" t="str">
            <v>4" Atalanta Condor 1001-D275 Pump Major</v>
          </cell>
          <cell r="F204" t="str">
            <v>S</v>
          </cell>
          <cell r="H204">
            <v>702.1</v>
          </cell>
          <cell r="I204">
            <v>0</v>
          </cell>
          <cell r="J204">
            <v>10</v>
          </cell>
          <cell r="K204">
            <v>1.5376000000000001E-2</v>
          </cell>
          <cell r="L204">
            <v>0</v>
          </cell>
          <cell r="M204">
            <v>0</v>
          </cell>
          <cell r="N204">
            <v>31</v>
          </cell>
          <cell r="O204">
            <v>31</v>
          </cell>
          <cell r="P204">
            <v>16</v>
          </cell>
        </row>
        <row r="205">
          <cell r="B205" t="str">
            <v>S</v>
          </cell>
          <cell r="C205">
            <v>48599</v>
          </cell>
          <cell r="D205" t="str">
            <v>SCO</v>
          </cell>
          <cell r="E205" t="str">
            <v>Compass</v>
          </cell>
          <cell r="F205" t="str">
            <v>S</v>
          </cell>
          <cell r="H205">
            <v>9.66</v>
          </cell>
          <cell r="I205">
            <v>0</v>
          </cell>
          <cell r="J205">
            <v>0.1</v>
          </cell>
          <cell r="K205">
            <v>1.5E-5</v>
          </cell>
          <cell r="L205">
            <v>0</v>
          </cell>
          <cell r="M205">
            <v>0</v>
          </cell>
          <cell r="N205">
            <v>3</v>
          </cell>
          <cell r="O205">
            <v>1</v>
          </cell>
          <cell r="P205">
            <v>5</v>
          </cell>
        </row>
        <row r="206">
          <cell r="B206" t="str">
            <v>S</v>
          </cell>
          <cell r="C206">
            <v>48501</v>
          </cell>
          <cell r="D206" t="str">
            <v>SESL</v>
          </cell>
          <cell r="E206" t="str">
            <v>Emergency Family Shelter System</v>
          </cell>
          <cell r="F206" t="str">
            <v>S</v>
          </cell>
          <cell r="H206">
            <v>117.54</v>
          </cell>
          <cell r="I206">
            <v>0</v>
          </cell>
          <cell r="J206">
            <v>44</v>
          </cell>
          <cell r="K206">
            <v>0.2656</v>
          </cell>
          <cell r="L206">
            <v>0</v>
          </cell>
          <cell r="M206">
            <v>0</v>
          </cell>
          <cell r="N206">
            <v>166</v>
          </cell>
          <cell r="O206">
            <v>40</v>
          </cell>
          <cell r="P206">
            <v>40</v>
          </cell>
        </row>
        <row r="207">
          <cell r="B207" t="str">
            <v>S</v>
          </cell>
          <cell r="C207">
            <v>48599</v>
          </cell>
          <cell r="D207" t="str">
            <v>SGPS</v>
          </cell>
          <cell r="E207" t="str">
            <v>GPS (Ground Positioning Station)</v>
          </cell>
          <cell r="F207" t="str">
            <v>S</v>
          </cell>
          <cell r="H207">
            <v>155.24</v>
          </cell>
          <cell r="I207">
            <v>0</v>
          </cell>
          <cell r="J207">
            <v>0.5</v>
          </cell>
          <cell r="K207">
            <v>1.4999999999999999E-4</v>
          </cell>
          <cell r="L207">
            <v>0</v>
          </cell>
          <cell r="M207">
            <v>0</v>
          </cell>
          <cell r="N207">
            <v>5</v>
          </cell>
          <cell r="O207">
            <v>3</v>
          </cell>
          <cell r="P207">
            <v>10</v>
          </cell>
        </row>
        <row r="208">
          <cell r="B208" t="str">
            <v>S</v>
          </cell>
          <cell r="C208">
            <v>48500</v>
          </cell>
          <cell r="D208" t="str">
            <v>SPE-1</v>
          </cell>
          <cell r="E208" t="str">
            <v>Woven Flexible Tarpaulin rolls of 60x4m</v>
          </cell>
          <cell r="F208" t="str">
            <v>S</v>
          </cell>
          <cell r="H208">
            <v>93.62</v>
          </cell>
          <cell r="I208">
            <v>0</v>
          </cell>
          <cell r="J208">
            <v>55</v>
          </cell>
          <cell r="K208">
            <v>0.189</v>
          </cell>
          <cell r="L208">
            <v>0</v>
          </cell>
          <cell r="M208">
            <v>0</v>
          </cell>
          <cell r="N208">
            <v>210</v>
          </cell>
          <cell r="O208">
            <v>30</v>
          </cell>
          <cell r="P208">
            <v>30</v>
          </cell>
        </row>
        <row r="209">
          <cell r="B209" t="str">
            <v>S</v>
          </cell>
          <cell r="C209">
            <v>48500</v>
          </cell>
          <cell r="D209" t="str">
            <v>SR</v>
          </cell>
          <cell r="E209" t="str">
            <v>Poly Rope</v>
          </cell>
          <cell r="F209" t="str">
            <v>S</v>
          </cell>
          <cell r="H209">
            <v>5.9</v>
          </cell>
          <cell r="I209">
            <v>0</v>
          </cell>
          <cell r="J209">
            <v>3</v>
          </cell>
          <cell r="K209">
            <v>8.4639999999999993E-3</v>
          </cell>
          <cell r="L209">
            <v>0</v>
          </cell>
          <cell r="M209">
            <v>0</v>
          </cell>
          <cell r="N209">
            <v>23</v>
          </cell>
          <cell r="O209">
            <v>23</v>
          </cell>
          <cell r="P209">
            <v>16</v>
          </cell>
        </row>
        <row r="210">
          <cell r="B210" t="str">
            <v>T</v>
          </cell>
          <cell r="C210">
            <v>48220</v>
          </cell>
          <cell r="D210" t="str">
            <v>T11</v>
          </cell>
          <cell r="E210" t="str">
            <v>11m3 Complete Tank</v>
          </cell>
          <cell r="F210" t="str">
            <v>S</v>
          </cell>
          <cell r="G210">
            <v>1</v>
          </cell>
          <cell r="H210">
            <v>1236.0121999999999</v>
          </cell>
          <cell r="I210">
            <v>1236.0121999999999</v>
          </cell>
          <cell r="J210">
            <v>344</v>
          </cell>
          <cell r="K210">
            <v>0.98289000000000004</v>
          </cell>
          <cell r="L210">
            <v>344</v>
          </cell>
          <cell r="M210">
            <v>0.98289000000000004</v>
          </cell>
          <cell r="N210">
            <v>163</v>
          </cell>
          <cell r="O210">
            <v>90</v>
          </cell>
          <cell r="P210">
            <v>67</v>
          </cell>
        </row>
        <row r="211">
          <cell r="B211" t="str">
            <v>T</v>
          </cell>
          <cell r="C211">
            <v>48220</v>
          </cell>
          <cell r="D211" t="str">
            <v>T45L</v>
          </cell>
          <cell r="E211" t="str">
            <v>45m3 Tank Liner + Accessories</v>
          </cell>
          <cell r="F211" t="str">
            <v>S</v>
          </cell>
          <cell r="H211">
            <v>1309.9970000000001</v>
          </cell>
          <cell r="I211">
            <v>0</v>
          </cell>
          <cell r="J211">
            <v>233</v>
          </cell>
          <cell r="K211">
            <v>1.176588</v>
          </cell>
          <cell r="L211">
            <v>0</v>
          </cell>
          <cell r="M211">
            <v>0</v>
          </cell>
          <cell r="N211">
            <v>147</v>
          </cell>
          <cell r="O211">
            <v>92</v>
          </cell>
          <cell r="P211">
            <v>87</v>
          </cell>
        </row>
        <row r="212">
          <cell r="B212" t="str">
            <v>T</v>
          </cell>
          <cell r="C212">
            <v>48220</v>
          </cell>
          <cell r="D212" t="str">
            <v>T45R</v>
          </cell>
          <cell r="E212" t="str">
            <v>45m3 Tank Roof</v>
          </cell>
          <cell r="F212" t="str">
            <v>S</v>
          </cell>
          <cell r="H212">
            <v>504.4366</v>
          </cell>
          <cell r="I212">
            <v>0</v>
          </cell>
          <cell r="J212">
            <v>78</v>
          </cell>
          <cell r="K212">
            <v>0.45077699999999998</v>
          </cell>
          <cell r="L212">
            <v>0</v>
          </cell>
          <cell r="M212">
            <v>0</v>
          </cell>
          <cell r="N212">
            <v>139</v>
          </cell>
          <cell r="O212">
            <v>69</v>
          </cell>
          <cell r="P212">
            <v>47</v>
          </cell>
        </row>
        <row r="213">
          <cell r="B213" t="str">
            <v>T</v>
          </cell>
          <cell r="C213">
            <v>48220</v>
          </cell>
          <cell r="D213" t="str">
            <v>T45S</v>
          </cell>
          <cell r="E213" t="str">
            <v>45m3 Tank Steels</v>
          </cell>
          <cell r="F213" t="str">
            <v>S</v>
          </cell>
          <cell r="H213">
            <v>344.12349999999998</v>
          </cell>
          <cell r="I213">
            <v>0</v>
          </cell>
          <cell r="J213">
            <v>266</v>
          </cell>
          <cell r="K213">
            <v>1.46025</v>
          </cell>
          <cell r="L213">
            <v>0</v>
          </cell>
          <cell r="M213">
            <v>0</v>
          </cell>
          <cell r="N213">
            <v>295</v>
          </cell>
          <cell r="O213">
            <v>90</v>
          </cell>
          <cell r="P213">
            <v>55</v>
          </cell>
        </row>
        <row r="214">
          <cell r="B214" t="str">
            <v>T</v>
          </cell>
          <cell r="C214">
            <v>48220</v>
          </cell>
          <cell r="D214" t="str">
            <v>T70L</v>
          </cell>
          <cell r="E214" t="str">
            <v>70m3 Tank Liner &amp; Accessories</v>
          </cell>
          <cell r="F214" t="str">
            <v>S</v>
          </cell>
          <cell r="H214">
            <v>1521.67</v>
          </cell>
          <cell r="I214">
            <v>0</v>
          </cell>
          <cell r="J214">
            <v>257</v>
          </cell>
          <cell r="K214">
            <v>0.83496000000000004</v>
          </cell>
          <cell r="L214">
            <v>0</v>
          </cell>
          <cell r="M214">
            <v>0</v>
          </cell>
          <cell r="N214">
            <v>147</v>
          </cell>
          <cell r="O214">
            <v>71</v>
          </cell>
          <cell r="P214">
            <v>80</v>
          </cell>
        </row>
        <row r="215">
          <cell r="B215" t="str">
            <v>T</v>
          </cell>
          <cell r="C215">
            <v>48220</v>
          </cell>
          <cell r="D215" t="str">
            <v>T70R</v>
          </cell>
          <cell r="E215" t="str">
            <v>70m3 Tank Roof</v>
          </cell>
          <cell r="F215" t="str">
            <v>S</v>
          </cell>
          <cell r="H215">
            <v>518.47</v>
          </cell>
          <cell r="I215">
            <v>0</v>
          </cell>
          <cell r="J215">
            <v>81</v>
          </cell>
          <cell r="K215">
            <v>0.45077699999999998</v>
          </cell>
          <cell r="L215">
            <v>0</v>
          </cell>
          <cell r="M215">
            <v>0</v>
          </cell>
          <cell r="N215">
            <v>139</v>
          </cell>
          <cell r="O215">
            <v>69</v>
          </cell>
          <cell r="P215">
            <v>47</v>
          </cell>
        </row>
        <row r="216">
          <cell r="B216" t="str">
            <v>T</v>
          </cell>
          <cell r="C216">
            <v>48220</v>
          </cell>
          <cell r="D216" t="str">
            <v>T70S</v>
          </cell>
          <cell r="E216" t="str">
            <v>70m3 Tank Steels</v>
          </cell>
          <cell r="F216" t="str">
            <v>S</v>
          </cell>
          <cell r="H216">
            <v>523.31629999999996</v>
          </cell>
          <cell r="I216">
            <v>0</v>
          </cell>
          <cell r="J216">
            <v>360</v>
          </cell>
          <cell r="K216">
            <v>1.3365</v>
          </cell>
          <cell r="L216">
            <v>0</v>
          </cell>
          <cell r="M216">
            <v>0</v>
          </cell>
          <cell r="N216">
            <v>55</v>
          </cell>
          <cell r="O216">
            <v>300</v>
          </cell>
          <cell r="P216">
            <v>81</v>
          </cell>
        </row>
        <row r="217">
          <cell r="B217" t="str">
            <v>T</v>
          </cell>
          <cell r="C217">
            <v>48220</v>
          </cell>
          <cell r="D217" t="str">
            <v>T95L</v>
          </cell>
          <cell r="E217" t="str">
            <v>95m3 Tank Liner &amp; Accessories</v>
          </cell>
          <cell r="F217" t="str">
            <v>S</v>
          </cell>
          <cell r="H217">
            <v>1699.1885</v>
          </cell>
          <cell r="I217">
            <v>0</v>
          </cell>
          <cell r="J217">
            <v>306</v>
          </cell>
          <cell r="K217">
            <v>1.190553</v>
          </cell>
          <cell r="L217">
            <v>0</v>
          </cell>
          <cell r="M217">
            <v>0</v>
          </cell>
          <cell r="N217">
            <v>147</v>
          </cell>
          <cell r="O217">
            <v>91</v>
          </cell>
          <cell r="P217">
            <v>89</v>
          </cell>
        </row>
        <row r="218">
          <cell r="B218" t="str">
            <v>T</v>
          </cell>
          <cell r="C218">
            <v>48220</v>
          </cell>
          <cell r="D218" t="str">
            <v>T95R</v>
          </cell>
          <cell r="E218" t="str">
            <v>95m3 Tank Roof</v>
          </cell>
          <cell r="F218" t="str">
            <v>S</v>
          </cell>
          <cell r="H218">
            <v>531.91</v>
          </cell>
          <cell r="I218">
            <v>0</v>
          </cell>
          <cell r="J218">
            <v>102</v>
          </cell>
          <cell r="K218">
            <v>0.417792</v>
          </cell>
          <cell r="L218">
            <v>0</v>
          </cell>
          <cell r="M218">
            <v>0</v>
          </cell>
          <cell r="N218">
            <v>136</v>
          </cell>
          <cell r="O218">
            <v>64</v>
          </cell>
          <cell r="P218">
            <v>48</v>
          </cell>
        </row>
        <row r="219">
          <cell r="B219" t="str">
            <v>T</v>
          </cell>
          <cell r="C219">
            <v>48220</v>
          </cell>
          <cell r="D219" t="str">
            <v>T95S</v>
          </cell>
          <cell r="E219" t="str">
            <v>95m3 Tank Steels</v>
          </cell>
          <cell r="F219" t="str">
            <v>S</v>
          </cell>
          <cell r="H219">
            <v>593.20000000000005</v>
          </cell>
          <cell r="I219">
            <v>0</v>
          </cell>
          <cell r="J219">
            <v>481</v>
          </cell>
          <cell r="K219">
            <v>1.496556</v>
          </cell>
          <cell r="L219">
            <v>0</v>
          </cell>
          <cell r="M219">
            <v>0</v>
          </cell>
          <cell r="N219">
            <v>298</v>
          </cell>
          <cell r="O219">
            <v>81</v>
          </cell>
          <cell r="P219">
            <v>62</v>
          </cell>
        </row>
        <row r="220">
          <cell r="B220" t="str">
            <v>T</v>
          </cell>
          <cell r="C220">
            <v>48222</v>
          </cell>
          <cell r="D220" t="str">
            <v>TBT10</v>
          </cell>
          <cell r="E220" t="str">
            <v>10m3 Ground Bladder PVC Tank</v>
          </cell>
          <cell r="F220" t="str">
            <v>S</v>
          </cell>
          <cell r="H220">
            <v>675.93389999999999</v>
          </cell>
          <cell r="I220">
            <v>0</v>
          </cell>
          <cell r="J220">
            <v>95</v>
          </cell>
          <cell r="K220">
            <v>0.43874999999999997</v>
          </cell>
          <cell r="L220">
            <v>0</v>
          </cell>
          <cell r="M220">
            <v>0</v>
          </cell>
          <cell r="N220">
            <v>125</v>
          </cell>
          <cell r="O220">
            <v>65</v>
          </cell>
          <cell r="P220">
            <v>54</v>
          </cell>
        </row>
        <row r="221">
          <cell r="B221" t="str">
            <v>T</v>
          </cell>
          <cell r="C221">
            <v>48239</v>
          </cell>
          <cell r="D221" t="str">
            <v>TF</v>
          </cell>
          <cell r="E221" t="str">
            <v>Tank Fittings Kit (needs G3.15 flexible hose)</v>
          </cell>
          <cell r="F221" t="str">
            <v>S</v>
          </cell>
          <cell r="H221">
            <v>347.98</v>
          </cell>
          <cell r="I221">
            <v>0</v>
          </cell>
          <cell r="J221">
            <v>54</v>
          </cell>
          <cell r="K221">
            <v>0.114576</v>
          </cell>
          <cell r="L221">
            <v>0</v>
          </cell>
          <cell r="M221">
            <v>0</v>
          </cell>
          <cell r="N221">
            <v>62</v>
          </cell>
          <cell r="O221">
            <v>42</v>
          </cell>
          <cell r="P221">
            <v>44</v>
          </cell>
        </row>
        <row r="222">
          <cell r="B222" t="str">
            <v>T</v>
          </cell>
          <cell r="C222">
            <v>48220</v>
          </cell>
          <cell r="D222" t="str">
            <v>TMT1</v>
          </cell>
          <cell r="E222" t="str">
            <v>1000L Allibert Tank (Bulk Carrier) 235</v>
          </cell>
          <cell r="F222" t="str">
            <v>N</v>
          </cell>
          <cell r="H222">
            <v>327.60000000000002</v>
          </cell>
          <cell r="I222">
            <v>0</v>
          </cell>
          <cell r="J222">
            <v>180</v>
          </cell>
          <cell r="K222">
            <v>1.9576199999999999</v>
          </cell>
          <cell r="L222">
            <v>0</v>
          </cell>
          <cell r="M222">
            <v>0</v>
          </cell>
          <cell r="N222">
            <v>105</v>
          </cell>
          <cell r="O222">
            <v>158</v>
          </cell>
          <cell r="P222">
            <v>118</v>
          </cell>
        </row>
        <row r="223">
          <cell r="B223" t="str">
            <v>T</v>
          </cell>
          <cell r="C223">
            <v>48220</v>
          </cell>
          <cell r="D223" t="str">
            <v>TMTA</v>
          </cell>
          <cell r="E223" t="str">
            <v>Allibert Tank Adapter</v>
          </cell>
          <cell r="F223" t="str">
            <v>N</v>
          </cell>
          <cell r="H223">
            <v>9</v>
          </cell>
          <cell r="I223">
            <v>0</v>
          </cell>
          <cell r="J223">
            <v>0</v>
          </cell>
          <cell r="K223">
            <v>1.9999999999999999E-6</v>
          </cell>
          <cell r="L223">
            <v>0</v>
          </cell>
          <cell r="M223">
            <v>0</v>
          </cell>
          <cell r="N223">
            <v>2</v>
          </cell>
          <cell r="O223">
            <v>1</v>
          </cell>
          <cell r="P223">
            <v>1</v>
          </cell>
        </row>
        <row r="224">
          <cell r="B224" t="str">
            <v>T</v>
          </cell>
          <cell r="C224">
            <v>48221</v>
          </cell>
          <cell r="D224" t="str">
            <v>TRR30</v>
          </cell>
          <cell r="E224" t="str">
            <v>30m3 Onion PVC Tank</v>
          </cell>
          <cell r="F224" t="str">
            <v>S</v>
          </cell>
          <cell r="H224">
            <v>1682.34</v>
          </cell>
          <cell r="I224">
            <v>0</v>
          </cell>
          <cell r="J224">
            <v>173</v>
          </cell>
          <cell r="K224">
            <v>1.2980799999999999</v>
          </cell>
          <cell r="L224">
            <v>0</v>
          </cell>
          <cell r="M224">
            <v>0</v>
          </cell>
          <cell r="N224">
            <v>95</v>
          </cell>
          <cell r="O224">
            <v>122</v>
          </cell>
          <cell r="P224">
            <v>112</v>
          </cell>
        </row>
        <row r="225">
          <cell r="B225" t="str">
            <v>T</v>
          </cell>
          <cell r="C225">
            <v>48222</v>
          </cell>
          <cell r="D225" t="str">
            <v>TRT6</v>
          </cell>
          <cell r="E225" t="str">
            <v>6m3 Trucking Bladder PVC Tank</v>
          </cell>
          <cell r="F225" t="str">
            <v>S</v>
          </cell>
          <cell r="H225">
            <v>960</v>
          </cell>
          <cell r="I225">
            <v>0</v>
          </cell>
          <cell r="J225">
            <v>90</v>
          </cell>
          <cell r="K225">
            <v>0.462501</v>
          </cell>
          <cell r="L225">
            <v>0</v>
          </cell>
          <cell r="M225">
            <v>0</v>
          </cell>
          <cell r="N225">
            <v>117</v>
          </cell>
          <cell r="O225">
            <v>67</v>
          </cell>
          <cell r="P225">
            <v>59</v>
          </cell>
        </row>
        <row r="226">
          <cell r="B226" t="str">
            <v>T</v>
          </cell>
          <cell r="C226">
            <v>48223</v>
          </cell>
          <cell r="D226" t="str">
            <v>TWC</v>
          </cell>
          <cell r="E226" t="str">
            <v>14 Litre Water Container (Pallet of 200 Units)</v>
          </cell>
          <cell r="F226" t="str">
            <v>S</v>
          </cell>
          <cell r="H226">
            <v>364</v>
          </cell>
          <cell r="I226">
            <v>0</v>
          </cell>
          <cell r="J226">
            <v>196</v>
          </cell>
          <cell r="K226">
            <v>1.32</v>
          </cell>
          <cell r="L226">
            <v>0</v>
          </cell>
          <cell r="M226">
            <v>0</v>
          </cell>
          <cell r="N226">
            <v>120</v>
          </cell>
          <cell r="O226">
            <v>100</v>
          </cell>
          <cell r="P226">
            <v>110</v>
          </cell>
        </row>
        <row r="227">
          <cell r="B227" t="str">
            <v>T</v>
          </cell>
          <cell r="C227">
            <v>48223</v>
          </cell>
          <cell r="D227" t="str">
            <v>TWCT</v>
          </cell>
          <cell r="E227" t="str">
            <v>14 Litre Water Container with Tap (Pallet of 200 Units)</v>
          </cell>
          <cell r="F227" t="str">
            <v>S</v>
          </cell>
          <cell r="H227">
            <v>469</v>
          </cell>
          <cell r="I227">
            <v>0</v>
          </cell>
          <cell r="J227">
            <v>220</v>
          </cell>
          <cell r="K227">
            <v>1.44</v>
          </cell>
          <cell r="L227">
            <v>0</v>
          </cell>
          <cell r="M227">
            <v>0</v>
          </cell>
          <cell r="N227">
            <v>120</v>
          </cell>
          <cell r="O227">
            <v>100</v>
          </cell>
          <cell r="P227">
            <v>120</v>
          </cell>
        </row>
        <row r="228">
          <cell r="B228" t="str">
            <v>V</v>
          </cell>
          <cell r="C228">
            <v>47433</v>
          </cell>
          <cell r="D228" t="str">
            <v>VF</v>
          </cell>
          <cell r="E228" t="str">
            <v>Vehicle Flags</v>
          </cell>
          <cell r="F228" t="str">
            <v>S</v>
          </cell>
          <cell r="H228">
            <v>26.43</v>
          </cell>
          <cell r="I228">
            <v>0</v>
          </cell>
          <cell r="J228">
            <v>0.1</v>
          </cell>
          <cell r="K228">
            <v>9.9999999999999995E-7</v>
          </cell>
          <cell r="L228">
            <v>0</v>
          </cell>
          <cell r="M228">
            <v>0</v>
          </cell>
          <cell r="N228">
            <v>1</v>
          </cell>
          <cell r="O228">
            <v>1</v>
          </cell>
          <cell r="P228">
            <v>1</v>
          </cell>
        </row>
        <row r="229">
          <cell r="B229" t="str">
            <v>V</v>
          </cell>
          <cell r="C229">
            <v>47432</v>
          </cell>
          <cell r="D229" t="str">
            <v>VFA</v>
          </cell>
          <cell r="E229" t="str">
            <v>Vehicle First Aid Kit</v>
          </cell>
          <cell r="F229" t="str">
            <v>S</v>
          </cell>
          <cell r="H229">
            <v>36.630000000000003</v>
          </cell>
          <cell r="I229">
            <v>0</v>
          </cell>
          <cell r="J229">
            <v>1</v>
          </cell>
          <cell r="K229">
            <v>4.2119999999999996E-3</v>
          </cell>
          <cell r="L229">
            <v>0</v>
          </cell>
          <cell r="M229">
            <v>0</v>
          </cell>
          <cell r="N229">
            <v>26</v>
          </cell>
          <cell r="O229">
            <v>18</v>
          </cell>
          <cell r="P229">
            <v>9</v>
          </cell>
        </row>
        <row r="230">
          <cell r="B230" t="str">
            <v>V</v>
          </cell>
          <cell r="C230">
            <v>46102</v>
          </cell>
          <cell r="D230" t="str">
            <v>VHMB</v>
          </cell>
          <cell r="E230" t="str">
            <v>Honda Motorbike for On/Off Road Use</v>
          </cell>
          <cell r="F230" t="str">
            <v>N</v>
          </cell>
          <cell r="H230">
            <v>1810</v>
          </cell>
          <cell r="I230">
            <v>0</v>
          </cell>
          <cell r="J230">
            <v>140</v>
          </cell>
          <cell r="K230">
            <v>0.78959999999999997</v>
          </cell>
          <cell r="L230">
            <v>0</v>
          </cell>
          <cell r="M230">
            <v>0</v>
          </cell>
          <cell r="N230">
            <v>100</v>
          </cell>
          <cell r="O230">
            <v>84</v>
          </cell>
          <cell r="P230">
            <v>94</v>
          </cell>
        </row>
        <row r="231">
          <cell r="B231" t="str">
            <v>V</v>
          </cell>
          <cell r="C231">
            <v>46109</v>
          </cell>
          <cell r="D231" t="str">
            <v>VLB</v>
          </cell>
          <cell r="E231" t="str">
            <v>Vehicle Log Book</v>
          </cell>
          <cell r="F231" t="str">
            <v>S</v>
          </cell>
          <cell r="H231">
            <v>2.7734000000000001</v>
          </cell>
          <cell r="I231">
            <v>0</v>
          </cell>
          <cell r="J231">
            <v>0.1</v>
          </cell>
          <cell r="K231">
            <v>9.9999999999999995E-7</v>
          </cell>
          <cell r="L231">
            <v>0</v>
          </cell>
          <cell r="M231">
            <v>0</v>
          </cell>
          <cell r="N231">
            <v>1</v>
          </cell>
          <cell r="O231">
            <v>1</v>
          </cell>
          <cell r="P231">
            <v>1</v>
          </cell>
        </row>
        <row r="232">
          <cell r="B232" t="str">
            <v>V</v>
          </cell>
          <cell r="C232">
            <v>46104</v>
          </cell>
          <cell r="D232" t="str">
            <v>VLCHT</v>
          </cell>
          <cell r="E232" t="str">
            <v>Standard Toyota Landcruiser Hardtop</v>
          </cell>
          <cell r="F232" t="str">
            <v>N</v>
          </cell>
          <cell r="H232">
            <v>17046</v>
          </cell>
          <cell r="I232">
            <v>0</v>
          </cell>
          <cell r="J232">
            <v>2135</v>
          </cell>
          <cell r="K232">
            <v>17.576000000000001</v>
          </cell>
          <cell r="L232">
            <v>0</v>
          </cell>
          <cell r="M232">
            <v>0</v>
          </cell>
          <cell r="N232">
            <v>500</v>
          </cell>
          <cell r="O232">
            <v>208</v>
          </cell>
          <cell r="P232">
            <v>169</v>
          </cell>
        </row>
        <row r="233">
          <cell r="B233" t="str">
            <v>V</v>
          </cell>
          <cell r="C233">
            <v>46103</v>
          </cell>
          <cell r="D233" t="str">
            <v>VLCPU</v>
          </cell>
          <cell r="E233" t="str">
            <v>Standard Toyota Landcruiser Pickup</v>
          </cell>
          <cell r="F233" t="str">
            <v>N</v>
          </cell>
          <cell r="H233">
            <v>15917</v>
          </cell>
          <cell r="I233">
            <v>0</v>
          </cell>
          <cell r="J233">
            <v>2118</v>
          </cell>
          <cell r="K233">
            <v>15.949712999999999</v>
          </cell>
          <cell r="L233">
            <v>0</v>
          </cell>
          <cell r="M233">
            <v>0</v>
          </cell>
          <cell r="N233">
            <v>489</v>
          </cell>
          <cell r="O233">
            <v>193</v>
          </cell>
          <cell r="P233">
            <v>169</v>
          </cell>
        </row>
        <row r="234">
          <cell r="B234" t="str">
            <v>V</v>
          </cell>
          <cell r="C234">
            <v>46103</v>
          </cell>
          <cell r="D234" t="str">
            <v>VLRPU</v>
          </cell>
          <cell r="E234" t="str">
            <v>Standard Landrover High Capacity Pickup</v>
          </cell>
          <cell r="F234" t="str">
            <v>N</v>
          </cell>
          <cell r="H234">
            <v>13630</v>
          </cell>
          <cell r="I234">
            <v>0</v>
          </cell>
          <cell r="J234">
            <v>1800</v>
          </cell>
          <cell r="K234">
            <v>16.906908000000001</v>
          </cell>
          <cell r="L234">
            <v>0</v>
          </cell>
          <cell r="M234">
            <v>0</v>
          </cell>
          <cell r="N234">
            <v>463</v>
          </cell>
          <cell r="O234">
            <v>204</v>
          </cell>
          <cell r="P234">
            <v>179</v>
          </cell>
        </row>
        <row r="235">
          <cell r="B235" t="str">
            <v>V</v>
          </cell>
          <cell r="C235">
            <v>46103</v>
          </cell>
          <cell r="D235" t="str">
            <v>VLRSA</v>
          </cell>
          <cell r="E235" t="str">
            <v>Land Rover Spares Pack A</v>
          </cell>
          <cell r="F235" t="str">
            <v>N</v>
          </cell>
          <cell r="H235">
            <v>82.88</v>
          </cell>
          <cell r="I235">
            <v>0</v>
          </cell>
          <cell r="J235">
            <v>20</v>
          </cell>
          <cell r="K235">
            <v>0</v>
          </cell>
          <cell r="L235">
            <v>0</v>
          </cell>
          <cell r="M235">
            <v>0</v>
          </cell>
        </row>
        <row r="236">
          <cell r="B236" t="str">
            <v>V</v>
          </cell>
          <cell r="C236">
            <v>46109</v>
          </cell>
          <cell r="D236" t="str">
            <v>VLRSB</v>
          </cell>
          <cell r="E236" t="str">
            <v>Land Rover Spares Pack B</v>
          </cell>
          <cell r="F236" t="str">
            <v>N</v>
          </cell>
          <cell r="H236">
            <v>1214.98</v>
          </cell>
          <cell r="I236">
            <v>0</v>
          </cell>
          <cell r="J236">
            <v>220</v>
          </cell>
          <cell r="K236">
            <v>0.20838400000000001</v>
          </cell>
          <cell r="L236">
            <v>0</v>
          </cell>
          <cell r="M236">
            <v>0</v>
          </cell>
          <cell r="N236">
            <v>74</v>
          </cell>
          <cell r="O236">
            <v>64</v>
          </cell>
          <cell r="P236">
            <v>44</v>
          </cell>
        </row>
        <row r="237">
          <cell r="B237" t="str">
            <v>V</v>
          </cell>
          <cell r="C237">
            <v>46104</v>
          </cell>
          <cell r="D237" t="str">
            <v>VLRSW</v>
          </cell>
          <cell r="E237" t="str">
            <v>Standard Landrover Stationwagon</v>
          </cell>
          <cell r="F237" t="str">
            <v>N</v>
          </cell>
          <cell r="H237">
            <v>14866</v>
          </cell>
          <cell r="I237">
            <v>0</v>
          </cell>
          <cell r="J237">
            <v>1900</v>
          </cell>
          <cell r="K237">
            <v>17.291399999999999</v>
          </cell>
          <cell r="L237">
            <v>0</v>
          </cell>
          <cell r="M237">
            <v>0</v>
          </cell>
          <cell r="N237">
            <v>460</v>
          </cell>
          <cell r="O237">
            <v>210</v>
          </cell>
          <cell r="P237">
            <v>179</v>
          </cell>
        </row>
        <row r="238">
          <cell r="B238" t="str">
            <v>V</v>
          </cell>
          <cell r="C238">
            <v>47433</v>
          </cell>
          <cell r="D238" t="str">
            <v>VOL</v>
          </cell>
          <cell r="E238" t="str">
            <v>Vehicle Sticker Large</v>
          </cell>
          <cell r="F238" t="str">
            <v>S</v>
          </cell>
          <cell r="H238">
            <v>0.76270000000000004</v>
          </cell>
          <cell r="I238">
            <v>0</v>
          </cell>
          <cell r="J238">
            <v>0.1</v>
          </cell>
          <cell r="K238">
            <v>1.1340000000000001E-4</v>
          </cell>
          <cell r="L238">
            <v>0</v>
          </cell>
          <cell r="M238">
            <v>0</v>
          </cell>
          <cell r="N238">
            <v>18</v>
          </cell>
          <cell r="O238">
            <v>63</v>
          </cell>
          <cell r="P238">
            <v>0.1</v>
          </cell>
        </row>
        <row r="239">
          <cell r="B239" t="str">
            <v>V</v>
          </cell>
          <cell r="C239">
            <v>47433</v>
          </cell>
          <cell r="D239" t="str">
            <v>VOS</v>
          </cell>
          <cell r="E239" t="str">
            <v>Vehicle Stickers Small</v>
          </cell>
          <cell r="F239" t="str">
            <v>S</v>
          </cell>
          <cell r="H239">
            <v>0.38</v>
          </cell>
          <cell r="I239">
            <v>0</v>
          </cell>
          <cell r="J239">
            <v>0.1</v>
          </cell>
          <cell r="K239">
            <v>7.9999999999999996E-6</v>
          </cell>
          <cell r="L239">
            <v>0</v>
          </cell>
          <cell r="M239">
            <v>0</v>
          </cell>
          <cell r="N239">
            <v>5</v>
          </cell>
          <cell r="O239">
            <v>16</v>
          </cell>
          <cell r="P239">
            <v>0.1</v>
          </cell>
        </row>
        <row r="240">
          <cell r="B240" t="str">
            <v>V</v>
          </cell>
          <cell r="C240">
            <v>46109</v>
          </cell>
          <cell r="D240" t="str">
            <v>VS</v>
          </cell>
          <cell r="E240" t="str">
            <v>Vehicle Sticker NO GUNS</v>
          </cell>
          <cell r="F240" t="str">
            <v>S</v>
          </cell>
          <cell r="H240">
            <v>1.2</v>
          </cell>
          <cell r="I240">
            <v>0</v>
          </cell>
          <cell r="J240">
            <v>0.1</v>
          </cell>
          <cell r="K240">
            <v>4.0000000000000002E-4</v>
          </cell>
          <cell r="L240">
            <v>0</v>
          </cell>
          <cell r="M240">
            <v>0</v>
          </cell>
          <cell r="N240">
            <v>20</v>
          </cell>
          <cell r="O240">
            <v>20</v>
          </cell>
          <cell r="P240">
            <v>1</v>
          </cell>
        </row>
        <row r="241">
          <cell r="B241" t="str">
            <v>V</v>
          </cell>
          <cell r="C241">
            <v>46109</v>
          </cell>
          <cell r="D241" t="str">
            <v>VT</v>
          </cell>
          <cell r="E241" t="str">
            <v>Vehicle Tool Kit</v>
          </cell>
          <cell r="F241" t="str">
            <v>S</v>
          </cell>
          <cell r="H241">
            <v>230.17</v>
          </cell>
          <cell r="I241">
            <v>0</v>
          </cell>
          <cell r="J241">
            <v>55</v>
          </cell>
          <cell r="K241">
            <v>0.19311600000000001</v>
          </cell>
          <cell r="L241">
            <v>0</v>
          </cell>
          <cell r="M241">
            <v>0</v>
          </cell>
          <cell r="N241">
            <v>133</v>
          </cell>
          <cell r="O241">
            <v>33</v>
          </cell>
          <cell r="P241">
            <v>44</v>
          </cell>
        </row>
        <row r="242">
          <cell r="B242" t="str">
            <v>V</v>
          </cell>
          <cell r="C242">
            <v>46103</v>
          </cell>
          <cell r="D242" t="str">
            <v>VTLCSA</v>
          </cell>
          <cell r="E242" t="str">
            <v>Toyota Land Cruiser (Hard Top) Spares Pack A</v>
          </cell>
          <cell r="F242" t="str">
            <v>N</v>
          </cell>
          <cell r="H242">
            <v>165</v>
          </cell>
          <cell r="I242">
            <v>0</v>
          </cell>
          <cell r="J242">
            <v>20</v>
          </cell>
          <cell r="K242">
            <v>0</v>
          </cell>
          <cell r="L242">
            <v>0</v>
          </cell>
          <cell r="M242">
            <v>0</v>
          </cell>
        </row>
        <row r="243">
          <cell r="B243" t="str">
            <v>V</v>
          </cell>
          <cell r="C243">
            <v>46103</v>
          </cell>
          <cell r="D243" t="str">
            <v>VTLCSB</v>
          </cell>
          <cell r="E243" t="str">
            <v>Toyota Land Cruiser (Hard Top) Spares Pack B</v>
          </cell>
          <cell r="F243" t="str">
            <v>N</v>
          </cell>
          <cell r="H243">
            <v>1000</v>
          </cell>
          <cell r="I243">
            <v>0</v>
          </cell>
          <cell r="J243">
            <v>80</v>
          </cell>
          <cell r="K243">
            <v>0</v>
          </cell>
          <cell r="L243">
            <v>0</v>
          </cell>
          <cell r="M243">
            <v>0</v>
          </cell>
        </row>
        <row r="244">
          <cell r="B244" t="str">
            <v>V</v>
          </cell>
          <cell r="C244">
            <v>46109</v>
          </cell>
          <cell r="D244" t="str">
            <v>VWA</v>
          </cell>
          <cell r="E244" t="str">
            <v>Vehicle Winch Accessories Kit</v>
          </cell>
          <cell r="F244" t="str">
            <v>S</v>
          </cell>
          <cell r="H244">
            <v>104.16</v>
          </cell>
          <cell r="I244">
            <v>0</v>
          </cell>
          <cell r="J244">
            <v>7</v>
          </cell>
          <cell r="K244">
            <v>1.6320000000000001E-2</v>
          </cell>
          <cell r="L244">
            <v>0</v>
          </cell>
          <cell r="M244">
            <v>0</v>
          </cell>
          <cell r="N244">
            <v>34</v>
          </cell>
          <cell r="O244">
            <v>20</v>
          </cell>
          <cell r="P244">
            <v>24</v>
          </cell>
        </row>
        <row r="245">
          <cell r="B245" t="str">
            <v>W</v>
          </cell>
          <cell r="C245">
            <v>48240</v>
          </cell>
          <cell r="D245" t="str">
            <v>WAS</v>
          </cell>
          <cell r="E245" t="str">
            <v>Survey Auger Kit</v>
          </cell>
          <cell r="F245" t="str">
            <v>S</v>
          </cell>
          <cell r="H245">
            <v>2331.06</v>
          </cell>
          <cell r="I245">
            <v>0</v>
          </cell>
          <cell r="J245">
            <v>215</v>
          </cell>
          <cell r="K245">
            <v>0.38400000000000001</v>
          </cell>
          <cell r="L245">
            <v>0</v>
          </cell>
          <cell r="M245">
            <v>0</v>
          </cell>
          <cell r="N245">
            <v>120</v>
          </cell>
          <cell r="O245">
            <v>80</v>
          </cell>
          <cell r="P245">
            <v>40</v>
          </cell>
        </row>
        <row r="246">
          <cell r="B246" t="str">
            <v>W</v>
          </cell>
          <cell r="C246">
            <v>48247</v>
          </cell>
          <cell r="D246" t="str">
            <v>WDHP</v>
          </cell>
          <cell r="E246" t="str">
            <v>Deep Well hand pump</v>
          </cell>
          <cell r="F246" t="str">
            <v>N</v>
          </cell>
          <cell r="H246">
            <v>47.1</v>
          </cell>
          <cell r="I246">
            <v>0</v>
          </cell>
          <cell r="K246">
            <v>0</v>
          </cell>
          <cell r="L246">
            <v>0</v>
          </cell>
          <cell r="M246">
            <v>0</v>
          </cell>
        </row>
        <row r="247">
          <cell r="B247" t="str">
            <v>W</v>
          </cell>
          <cell r="C247">
            <v>47432</v>
          </cell>
          <cell r="D247" t="str">
            <v>WEF</v>
          </cell>
          <cell r="E247" t="str">
            <v>Engineers First Aid Kit</v>
          </cell>
          <cell r="F247" t="str">
            <v>S</v>
          </cell>
          <cell r="H247">
            <v>82.12</v>
          </cell>
          <cell r="I247">
            <v>0</v>
          </cell>
          <cell r="J247">
            <v>6</v>
          </cell>
          <cell r="K247">
            <v>2.6775E-2</v>
          </cell>
          <cell r="L247">
            <v>0</v>
          </cell>
          <cell r="M247">
            <v>0</v>
          </cell>
          <cell r="N247">
            <v>45</v>
          </cell>
          <cell r="O247">
            <v>17</v>
          </cell>
          <cell r="P247">
            <v>35</v>
          </cell>
        </row>
        <row r="248">
          <cell r="B248" t="str">
            <v>W</v>
          </cell>
          <cell r="C248">
            <v>48242</v>
          </cell>
          <cell r="D248" t="str">
            <v>WET</v>
          </cell>
          <cell r="E248" t="str">
            <v>Tool Kit for Well Excavation</v>
          </cell>
          <cell r="F248" t="str">
            <v>S</v>
          </cell>
          <cell r="H248">
            <v>567.5</v>
          </cell>
          <cell r="I248">
            <v>0</v>
          </cell>
          <cell r="J248">
            <v>179</v>
          </cell>
          <cell r="K248">
            <v>0.948708</v>
          </cell>
          <cell r="L248">
            <v>0</v>
          </cell>
          <cell r="M248">
            <v>0</v>
          </cell>
          <cell r="N248">
            <v>146</v>
          </cell>
          <cell r="O248">
            <v>57</v>
          </cell>
          <cell r="P248">
            <v>114</v>
          </cell>
        </row>
        <row r="249">
          <cell r="B249" t="str">
            <v>W</v>
          </cell>
          <cell r="C249">
            <v>48242</v>
          </cell>
          <cell r="D249" t="str">
            <v>WL+P</v>
          </cell>
          <cell r="E249" t="str">
            <v>Hand Dug Well Liner</v>
          </cell>
          <cell r="F249" t="str">
            <v>S</v>
          </cell>
          <cell r="H249">
            <v>965.22</v>
          </cell>
          <cell r="I249">
            <v>0</v>
          </cell>
          <cell r="J249">
            <v>1089</v>
          </cell>
          <cell r="K249">
            <v>1.505952</v>
          </cell>
          <cell r="L249">
            <v>0</v>
          </cell>
          <cell r="M249">
            <v>0</v>
          </cell>
          <cell r="N249">
            <v>166</v>
          </cell>
          <cell r="O249">
            <v>84</v>
          </cell>
          <cell r="P249">
            <v>108</v>
          </cell>
        </row>
        <row r="250">
          <cell r="B250" t="str">
            <v>W</v>
          </cell>
          <cell r="C250">
            <v>48243</v>
          </cell>
          <cell r="D250" t="str">
            <v>WM+P</v>
          </cell>
          <cell r="E250" t="str">
            <v>Well Mould for non + Perforated Concrete Rings</v>
          </cell>
          <cell r="F250" t="str">
            <v>S</v>
          </cell>
          <cell r="H250">
            <v>1315.58</v>
          </cell>
          <cell r="I250">
            <v>0</v>
          </cell>
          <cell r="J250">
            <v>451</v>
          </cell>
          <cell r="K250">
            <v>1.1414759999999999</v>
          </cell>
          <cell r="L250">
            <v>0</v>
          </cell>
          <cell r="M250">
            <v>0</v>
          </cell>
          <cell r="N250">
            <v>127</v>
          </cell>
          <cell r="O250">
            <v>107</v>
          </cell>
          <cell r="P250">
            <v>84</v>
          </cell>
        </row>
        <row r="251">
          <cell r="B251" t="str">
            <v>W</v>
          </cell>
          <cell r="C251">
            <v>48249</v>
          </cell>
          <cell r="D251" t="str">
            <v>WPCS</v>
          </cell>
          <cell r="E251" t="str">
            <v>Compressor service Overall kit</v>
          </cell>
          <cell r="F251" t="str">
            <v>N</v>
          </cell>
          <cell r="H251">
            <v>43.25</v>
          </cell>
          <cell r="I251">
            <v>0</v>
          </cell>
          <cell r="J251">
            <v>1.5</v>
          </cell>
          <cell r="K251">
            <v>5.3999999999999999E-2</v>
          </cell>
          <cell r="L251">
            <v>0</v>
          </cell>
          <cell r="M251">
            <v>0</v>
          </cell>
          <cell r="N251">
            <v>30</v>
          </cell>
          <cell r="O251">
            <v>60</v>
          </cell>
          <cell r="P251">
            <v>30</v>
          </cell>
        </row>
        <row r="252">
          <cell r="B252" t="str">
            <v>W</v>
          </cell>
          <cell r="C252">
            <v>48241</v>
          </cell>
          <cell r="D252" t="str">
            <v>WPCT</v>
          </cell>
          <cell r="E252" t="str">
            <v>Compressor air tools kit</v>
          </cell>
          <cell r="F252" t="str">
            <v>N</v>
          </cell>
          <cell r="I252">
            <v>0</v>
          </cell>
          <cell r="J252">
            <v>200</v>
          </cell>
          <cell r="K252">
            <v>0</v>
          </cell>
          <cell r="L252">
            <v>0</v>
          </cell>
          <cell r="M252">
            <v>0</v>
          </cell>
        </row>
        <row r="253">
          <cell r="B253" t="str">
            <v>W</v>
          </cell>
          <cell r="C253">
            <v>48245</v>
          </cell>
          <cell r="D253" t="str">
            <v>WSDP</v>
          </cell>
          <cell r="E253" t="str">
            <v>Submersible Electrical Dewatering Pump With Gene</v>
          </cell>
          <cell r="F253" t="str">
            <v>S</v>
          </cell>
          <cell r="H253">
            <v>2922</v>
          </cell>
          <cell r="I253">
            <v>0</v>
          </cell>
          <cell r="J253">
            <v>210</v>
          </cell>
          <cell r="K253">
            <v>0.82566399999999995</v>
          </cell>
          <cell r="L253">
            <v>0</v>
          </cell>
          <cell r="M253">
            <v>0</v>
          </cell>
          <cell r="N253">
            <v>112</v>
          </cell>
          <cell r="O253">
            <v>76</v>
          </cell>
          <cell r="P253">
            <v>97</v>
          </cell>
        </row>
        <row r="254">
          <cell r="B254" t="str">
            <v>W</v>
          </cell>
          <cell r="C254">
            <v>48248</v>
          </cell>
          <cell r="D254" t="str">
            <v>WSHP</v>
          </cell>
          <cell r="E254" t="str">
            <v>Shallow Well hand Pump (for well 12 m Maximum)</v>
          </cell>
          <cell r="F254" t="str">
            <v>N</v>
          </cell>
          <cell r="I254">
            <v>0</v>
          </cell>
          <cell r="K254">
            <v>0</v>
          </cell>
          <cell r="L254">
            <v>0</v>
          </cell>
          <cell r="M254">
            <v>0</v>
          </cell>
        </row>
        <row r="255">
          <cell r="B255" t="str">
            <v>W</v>
          </cell>
          <cell r="C255">
            <v>48246</v>
          </cell>
          <cell r="D255" t="str">
            <v>WT6</v>
          </cell>
          <cell r="E255" t="str">
            <v>Well Tripod Kit</v>
          </cell>
          <cell r="F255" t="str">
            <v>S</v>
          </cell>
          <cell r="H255">
            <v>2291.3200000000002</v>
          </cell>
          <cell r="I255">
            <v>0</v>
          </cell>
          <cell r="J255">
            <v>485</v>
          </cell>
          <cell r="K255">
            <v>1.3440000000000001</v>
          </cell>
          <cell r="L255">
            <v>0</v>
          </cell>
          <cell r="M255">
            <v>0</v>
          </cell>
          <cell r="N255">
            <v>280</v>
          </cell>
          <cell r="O255">
            <v>80</v>
          </cell>
          <cell r="P255">
            <v>60</v>
          </cell>
        </row>
        <row r="256">
          <cell r="B256" t="str">
            <v>X</v>
          </cell>
          <cell r="C256">
            <v>48004</v>
          </cell>
          <cell r="D256" t="str">
            <v>XBN</v>
          </cell>
          <cell r="E256" t="str">
            <v>Bale of 100 Impregnated Bednets</v>
          </cell>
          <cell r="F256" t="str">
            <v>S</v>
          </cell>
          <cell r="H256">
            <v>294.63</v>
          </cell>
          <cell r="I256">
            <v>0</v>
          </cell>
          <cell r="J256">
            <v>39</v>
          </cell>
          <cell r="K256">
            <v>0.128</v>
          </cell>
          <cell r="L256">
            <v>0</v>
          </cell>
          <cell r="M256">
            <v>0</v>
          </cell>
          <cell r="N256">
            <v>40</v>
          </cell>
          <cell r="O256">
            <v>40</v>
          </cell>
          <cell r="P256">
            <v>80</v>
          </cell>
        </row>
        <row r="257">
          <cell r="B257" t="str">
            <v>X</v>
          </cell>
          <cell r="C257">
            <v>48005</v>
          </cell>
          <cell r="D257" t="str">
            <v>XFT</v>
          </cell>
          <cell r="E257" t="str">
            <v>Fly Trap (boxes of 50)</v>
          </cell>
          <cell r="F257" t="str">
            <v>S</v>
          </cell>
          <cell r="H257">
            <v>90.5</v>
          </cell>
          <cell r="I257">
            <v>0</v>
          </cell>
          <cell r="J257">
            <v>0</v>
          </cell>
          <cell r="K257">
            <v>0.02</v>
          </cell>
          <cell r="L257">
            <v>0</v>
          </cell>
          <cell r="M257">
            <v>0</v>
          </cell>
          <cell r="N257">
            <v>20</v>
          </cell>
          <cell r="O257">
            <v>50</v>
          </cell>
          <cell r="P257">
            <v>20</v>
          </cell>
        </row>
        <row r="258">
          <cell r="B258" t="str">
            <v>X</v>
          </cell>
          <cell r="C258">
            <v>48004</v>
          </cell>
          <cell r="D258" t="str">
            <v>XI1</v>
          </cell>
          <cell r="E258" t="str">
            <v>Insecticide for Bednet Impregnaton (Delthamethrin)</v>
          </cell>
          <cell r="F258" t="str">
            <v>N</v>
          </cell>
          <cell r="I258">
            <v>0</v>
          </cell>
          <cell r="K258">
            <v>0</v>
          </cell>
          <cell r="L258">
            <v>0</v>
          </cell>
          <cell r="M258">
            <v>0</v>
          </cell>
        </row>
        <row r="259">
          <cell r="B259" t="str">
            <v>X</v>
          </cell>
          <cell r="C259">
            <v>48004</v>
          </cell>
          <cell r="D259" t="str">
            <v>XI3</v>
          </cell>
          <cell r="E259" t="str">
            <v>Insecticide for bednet impregnation Lambda-Cyhalothrin</v>
          </cell>
          <cell r="F259" t="str">
            <v>N</v>
          </cell>
          <cell r="H259">
            <v>380</v>
          </cell>
          <cell r="I259">
            <v>0</v>
          </cell>
          <cell r="J259">
            <v>10</v>
          </cell>
          <cell r="K259">
            <v>2.7E-2</v>
          </cell>
          <cell r="L259">
            <v>0</v>
          </cell>
          <cell r="M259">
            <v>0</v>
          </cell>
          <cell r="N259">
            <v>30</v>
          </cell>
          <cell r="O259">
            <v>30</v>
          </cell>
          <cell r="P259">
            <v>30</v>
          </cell>
        </row>
        <row r="260">
          <cell r="B260" t="str">
            <v>X</v>
          </cell>
          <cell r="C260">
            <v>48005</v>
          </cell>
          <cell r="D260" t="str">
            <v>XRB</v>
          </cell>
          <cell r="E260" t="str">
            <v>25 rubbish disposal bags (1m3) for 2500 people</v>
          </cell>
          <cell r="F260" t="str">
            <v>S</v>
          </cell>
          <cell r="H260">
            <v>123.75</v>
          </cell>
          <cell r="I260">
            <v>0</v>
          </cell>
          <cell r="J260">
            <v>30</v>
          </cell>
          <cell r="K260">
            <v>1.2237499999999999</v>
          </cell>
          <cell r="L260">
            <v>0</v>
          </cell>
          <cell r="M260">
            <v>0</v>
          </cell>
          <cell r="N260">
            <v>89</v>
          </cell>
          <cell r="O260">
            <v>125</v>
          </cell>
          <cell r="P260">
            <v>110</v>
          </cell>
        </row>
        <row r="261">
          <cell r="B261" t="str">
            <v>X</v>
          </cell>
          <cell r="C261">
            <v>48005</v>
          </cell>
          <cell r="D261" t="str">
            <v>XS</v>
          </cell>
          <cell r="E261" t="str">
            <v>Insecticide Sprayer</v>
          </cell>
          <cell r="F261" t="str">
            <v>N</v>
          </cell>
          <cell r="H261">
            <v>66</v>
          </cell>
          <cell r="I261">
            <v>0</v>
          </cell>
          <cell r="J261">
            <v>6</v>
          </cell>
          <cell r="K261">
            <v>4.3091999999999998E-2</v>
          </cell>
          <cell r="L261">
            <v>0</v>
          </cell>
          <cell r="M261">
            <v>0</v>
          </cell>
          <cell r="N261">
            <v>42</v>
          </cell>
          <cell r="O261">
            <v>18</v>
          </cell>
          <cell r="P261">
            <v>57</v>
          </cell>
        </row>
        <row r="262">
          <cell r="B262" t="str">
            <v>X</v>
          </cell>
          <cell r="C262">
            <v>48005</v>
          </cell>
          <cell r="D262" t="str">
            <v>XSM</v>
          </cell>
          <cell r="E262" t="str">
            <v>Insecticide Sprayer</v>
          </cell>
          <cell r="F262" t="str">
            <v>N</v>
          </cell>
          <cell r="H262">
            <v>264</v>
          </cell>
          <cell r="I262">
            <v>0</v>
          </cell>
          <cell r="J262">
            <v>5</v>
          </cell>
          <cell r="K262">
            <v>3.024E-2</v>
          </cell>
          <cell r="L262">
            <v>0</v>
          </cell>
          <cell r="M262">
            <v>0</v>
          </cell>
          <cell r="N262">
            <v>21</v>
          </cell>
          <cell r="O262">
            <v>20</v>
          </cell>
          <cell r="P262">
            <v>72</v>
          </cell>
        </row>
        <row r="263">
          <cell r="B263" t="str">
            <v>X</v>
          </cell>
          <cell r="C263">
            <v>48005</v>
          </cell>
          <cell r="D263" t="str">
            <v>XSO</v>
          </cell>
          <cell r="E263" t="str">
            <v xml:space="preserve">Vector/Chemical SafetyOutfit </v>
          </cell>
          <cell r="F263" t="str">
            <v>N</v>
          </cell>
          <cell r="H263">
            <v>39.840000000000003</v>
          </cell>
          <cell r="I263">
            <v>0</v>
          </cell>
          <cell r="J263">
            <v>6</v>
          </cell>
          <cell r="K263">
            <v>1.2122000000000001E-2</v>
          </cell>
          <cell r="L263">
            <v>0</v>
          </cell>
          <cell r="M263">
            <v>0</v>
          </cell>
          <cell r="N263">
            <v>38</v>
          </cell>
          <cell r="O263">
            <v>29</v>
          </cell>
          <cell r="P263">
            <v>11</v>
          </cell>
        </row>
        <row r="264">
          <cell r="B264" t="str">
            <v>?</v>
          </cell>
          <cell r="E264" t="str">
            <v>90mm mdpe tube 8bar in 6m lengths</v>
          </cell>
          <cell r="G264">
            <v>50</v>
          </cell>
          <cell r="I264">
            <v>0</v>
          </cell>
          <cell r="K264">
            <v>0</v>
          </cell>
          <cell r="L264">
            <v>0</v>
          </cell>
          <cell r="M264">
            <v>0</v>
          </cell>
        </row>
        <row r="265">
          <cell r="E265" t="str">
            <v>Flow meter 1"</v>
          </cell>
          <cell r="G265">
            <v>1</v>
          </cell>
          <cell r="I265">
            <v>0</v>
          </cell>
          <cell r="L265">
            <v>0</v>
          </cell>
        </row>
        <row r="266">
          <cell r="E266" t="str">
            <v>Flow meter 4"</v>
          </cell>
          <cell r="G266">
            <v>5</v>
          </cell>
        </row>
        <row r="267">
          <cell r="B267" t="str">
            <v>?</v>
          </cell>
          <cell r="E267" t="str">
            <v>Cumulative flow meter 4" flanged with flanges</v>
          </cell>
          <cell r="G267">
            <v>5</v>
          </cell>
          <cell r="H267">
            <v>400</v>
          </cell>
          <cell r="I267">
            <v>2000</v>
          </cell>
          <cell r="K267">
            <v>0</v>
          </cell>
          <cell r="L267">
            <v>0</v>
          </cell>
          <cell r="M267">
            <v>0</v>
          </cell>
        </row>
        <row r="268">
          <cell r="B268" t="str">
            <v>?</v>
          </cell>
          <cell r="E268" t="str">
            <v>Grundfos SP14A-25 4" borehole pumps</v>
          </cell>
          <cell r="G268">
            <v>5</v>
          </cell>
          <cell r="H268">
            <v>2415</v>
          </cell>
          <cell r="I268">
            <v>12075</v>
          </cell>
          <cell r="J268">
            <v>200</v>
          </cell>
          <cell r="K268">
            <v>0.3</v>
          </cell>
          <cell r="L268">
            <v>1000</v>
          </cell>
          <cell r="M268">
            <v>1.5</v>
          </cell>
        </row>
        <row r="269">
          <cell r="B269" t="str">
            <v>?</v>
          </cell>
          <cell r="E269" t="str">
            <v xml:space="preserve">P4H PSLI </v>
          </cell>
          <cell r="G269">
            <v>2</v>
          </cell>
          <cell r="I269">
            <v>0</v>
          </cell>
          <cell r="K269">
            <v>0</v>
          </cell>
          <cell r="L269">
            <v>0</v>
          </cell>
          <cell r="M269">
            <v>0</v>
          </cell>
        </row>
        <row r="270">
          <cell r="B270" t="str">
            <v>?</v>
          </cell>
          <cell r="E270" t="str">
            <v>45 kVA generators 3 phase with Perkins engines or equivalent</v>
          </cell>
          <cell r="G270">
            <v>3</v>
          </cell>
          <cell r="H270">
            <v>6000</v>
          </cell>
          <cell r="I270">
            <v>18000</v>
          </cell>
          <cell r="J270">
            <v>2000</v>
          </cell>
          <cell r="K270">
            <v>4</v>
          </cell>
          <cell r="L270">
            <v>6000</v>
          </cell>
          <cell r="M270">
            <v>12</v>
          </cell>
        </row>
        <row r="271">
          <cell r="B271" t="str">
            <v>?</v>
          </cell>
          <cell r="E271" t="str">
            <v xml:space="preserve">Control panels for SP14A-25 pumps </v>
          </cell>
          <cell r="G271">
            <v>3</v>
          </cell>
          <cell r="H271">
            <v>1000</v>
          </cell>
          <cell r="I271">
            <v>3000</v>
          </cell>
          <cell r="K271">
            <v>0</v>
          </cell>
          <cell r="L271">
            <v>0</v>
          </cell>
          <cell r="M271">
            <v>0</v>
          </cell>
        </row>
        <row r="272">
          <cell r="B272" t="str">
            <v>?</v>
          </cell>
          <cell r="E272" t="str">
            <v>Electrical dippers 100m</v>
          </cell>
          <cell r="G272">
            <v>3</v>
          </cell>
          <cell r="H272">
            <v>200</v>
          </cell>
          <cell r="I272">
            <v>600</v>
          </cell>
          <cell r="K272">
            <v>0</v>
          </cell>
          <cell r="L272">
            <v>0</v>
          </cell>
          <cell r="M272">
            <v>0</v>
          </cell>
        </row>
        <row r="273">
          <cell r="B273" t="str">
            <v>?</v>
          </cell>
          <cell r="E273" t="str">
            <v>Cumulative flow meter 2" flanged with 2" BSPF flanges</v>
          </cell>
          <cell r="G273">
            <v>5</v>
          </cell>
          <cell r="H273">
            <v>200</v>
          </cell>
          <cell r="I273">
            <v>1000</v>
          </cell>
          <cell r="K273">
            <v>0</v>
          </cell>
          <cell r="L273">
            <v>0</v>
          </cell>
          <cell r="M273">
            <v>0</v>
          </cell>
        </row>
        <row r="274">
          <cell r="B274" t="str">
            <v>?</v>
          </cell>
          <cell r="E274" t="str">
            <v>Armoured cable 4 core 6mm diameter 600m</v>
          </cell>
          <cell r="G274">
            <v>1</v>
          </cell>
          <cell r="H274">
            <v>2000</v>
          </cell>
          <cell r="I274">
            <v>2000</v>
          </cell>
          <cell r="J274">
            <v>0.5</v>
          </cell>
          <cell r="K274">
            <v>0.5</v>
          </cell>
          <cell r="L274">
            <v>0.5</v>
          </cell>
          <cell r="M274">
            <v>0.5</v>
          </cell>
        </row>
        <row r="275">
          <cell r="B275" t="str">
            <v>?</v>
          </cell>
          <cell r="E275" t="str">
            <v>Armoured cable 4 core 4mm diameter 300</v>
          </cell>
          <cell r="G275">
            <v>1</v>
          </cell>
          <cell r="H275">
            <v>1000</v>
          </cell>
          <cell r="I275">
            <v>1000</v>
          </cell>
          <cell r="J275">
            <v>0.2</v>
          </cell>
          <cell r="K275">
            <v>0.3</v>
          </cell>
          <cell r="L275">
            <v>0.2</v>
          </cell>
          <cell r="M275">
            <v>0.3</v>
          </cell>
        </row>
        <row r="276">
          <cell r="E276" t="str">
            <v>GRAND TOTAL</v>
          </cell>
          <cell r="I276">
            <v>56633.517599999999</v>
          </cell>
          <cell r="L276">
            <v>10294.900000000001</v>
          </cell>
          <cell r="M276">
            <v>32.825304000000003</v>
          </cell>
        </row>
      </sheetData>
      <sheetData sheetId="3">
        <row r="2">
          <cell r="B2" t="str">
            <v>Cat</v>
          </cell>
          <cell r="C2" t="str">
            <v>Account Code</v>
          </cell>
          <cell r="D2" t="str">
            <v>Code</v>
          </cell>
          <cell r="E2" t="str">
            <v>Description</v>
          </cell>
          <cell r="F2" t="str">
            <v>type</v>
          </cell>
          <cell r="G2" t="str">
            <v>Qty</v>
          </cell>
          <cell r="H2" t="str">
            <v>U Cost (£)</v>
          </cell>
          <cell r="I2" t="str">
            <v>T Cost (£)</v>
          </cell>
          <cell r="J2" t="str">
            <v>U Weight (kg)</v>
          </cell>
          <cell r="K2" t="str">
            <v>U Volume m3</v>
          </cell>
          <cell r="L2" t="str">
            <v>T Weight (kg)</v>
          </cell>
          <cell r="M2" t="str">
            <v>T Volume m3</v>
          </cell>
          <cell r="N2" t="str">
            <v>U Length</v>
          </cell>
          <cell r="O2" t="str">
            <v>U Width</v>
          </cell>
          <cell r="P2" t="str">
            <v>U Height</v>
          </cell>
        </row>
        <row r="3">
          <cell r="B3" t="str">
            <v>A</v>
          </cell>
          <cell r="C3">
            <v>47412</v>
          </cell>
          <cell r="D3" t="str">
            <v>AB</v>
          </cell>
          <cell r="E3" t="str">
            <v>Books and Manuals</v>
          </cell>
          <cell r="F3" t="str">
            <v>S</v>
          </cell>
          <cell r="H3">
            <v>202.97</v>
          </cell>
          <cell r="I3">
            <v>0</v>
          </cell>
          <cell r="J3">
            <v>15</v>
          </cell>
          <cell r="K3">
            <v>4.8384000000000003E-2</v>
          </cell>
          <cell r="L3">
            <v>0</v>
          </cell>
          <cell r="M3">
            <v>0</v>
          </cell>
          <cell r="N3">
            <v>48</v>
          </cell>
          <cell r="O3">
            <v>48</v>
          </cell>
          <cell r="P3">
            <v>21</v>
          </cell>
        </row>
        <row r="4">
          <cell r="B4" t="str">
            <v>A</v>
          </cell>
          <cell r="C4">
            <v>45549</v>
          </cell>
          <cell r="D4" t="str">
            <v>ABG</v>
          </cell>
          <cell r="E4" t="str">
            <v>Carrying Bag*</v>
          </cell>
          <cell r="F4" t="str">
            <v>S</v>
          </cell>
          <cell r="H4">
            <v>4.96</v>
          </cell>
          <cell r="I4">
            <v>0</v>
          </cell>
          <cell r="J4">
            <v>0.5</v>
          </cell>
          <cell r="K4">
            <v>1.8810000000000001E-3</v>
          </cell>
          <cell r="L4">
            <v>0</v>
          </cell>
          <cell r="M4">
            <v>0</v>
          </cell>
          <cell r="N4">
            <v>33</v>
          </cell>
          <cell r="O4">
            <v>19</v>
          </cell>
          <cell r="P4">
            <v>3</v>
          </cell>
        </row>
        <row r="5">
          <cell r="B5" t="str">
            <v>A</v>
          </cell>
          <cell r="C5">
            <v>45509</v>
          </cell>
          <cell r="D5" t="str">
            <v>AC</v>
          </cell>
          <cell r="E5" t="str">
            <v>Catering Equipment for Six People</v>
          </cell>
          <cell r="F5" t="str">
            <v>S</v>
          </cell>
          <cell r="H5">
            <v>1786.9</v>
          </cell>
          <cell r="I5">
            <v>0</v>
          </cell>
          <cell r="J5">
            <v>183</v>
          </cell>
          <cell r="K5">
            <v>1.3212600000000001</v>
          </cell>
          <cell r="L5">
            <v>0</v>
          </cell>
          <cell r="M5">
            <v>0</v>
          </cell>
          <cell r="N5">
            <v>122</v>
          </cell>
          <cell r="O5">
            <v>95</v>
          </cell>
          <cell r="P5">
            <v>114</v>
          </cell>
        </row>
        <row r="6">
          <cell r="B6" t="str">
            <v>A</v>
          </cell>
          <cell r="C6">
            <v>45509</v>
          </cell>
          <cell r="D6" t="str">
            <v>ACB</v>
          </cell>
          <cell r="E6" t="str">
            <v>Camp Bed</v>
          </cell>
          <cell r="F6" t="str">
            <v>S</v>
          </cell>
          <cell r="H6">
            <v>32.880000000000003</v>
          </cell>
          <cell r="I6">
            <v>0</v>
          </cell>
          <cell r="J6">
            <v>5</v>
          </cell>
          <cell r="K6">
            <v>1.0200000000000001E-2</v>
          </cell>
          <cell r="L6">
            <v>0</v>
          </cell>
          <cell r="M6">
            <v>0</v>
          </cell>
          <cell r="N6">
            <v>102</v>
          </cell>
          <cell r="O6">
            <v>10</v>
          </cell>
          <cell r="P6">
            <v>10</v>
          </cell>
        </row>
        <row r="7">
          <cell r="B7" t="str">
            <v>A</v>
          </cell>
          <cell r="C7">
            <v>46209</v>
          </cell>
          <cell r="D7" t="str">
            <v>ADC</v>
          </cell>
          <cell r="E7" t="str">
            <v>Digital Camera Kit*</v>
          </cell>
          <cell r="F7" t="str">
            <v>S</v>
          </cell>
          <cell r="H7">
            <v>283.83</v>
          </cell>
          <cell r="I7">
            <v>0</v>
          </cell>
          <cell r="J7">
            <v>2.5</v>
          </cell>
          <cell r="K7">
            <v>5.1000000000000004E-3</v>
          </cell>
          <cell r="L7">
            <v>0</v>
          </cell>
          <cell r="M7">
            <v>0</v>
          </cell>
          <cell r="N7">
            <v>20</v>
          </cell>
          <cell r="O7">
            <v>17</v>
          </cell>
          <cell r="P7">
            <v>15</v>
          </cell>
        </row>
        <row r="8">
          <cell r="B8" t="str">
            <v>A</v>
          </cell>
          <cell r="C8">
            <v>47430</v>
          </cell>
          <cell r="D8" t="str">
            <v>AFC</v>
          </cell>
          <cell r="E8" t="str">
            <v>Oxfam Petty Cash Vouchers*</v>
          </cell>
          <cell r="F8" t="str">
            <v>S</v>
          </cell>
          <cell r="H8">
            <v>0.45</v>
          </cell>
          <cell r="I8">
            <v>0</v>
          </cell>
          <cell r="J8">
            <v>0</v>
          </cell>
          <cell r="K8">
            <v>0</v>
          </cell>
          <cell r="L8">
            <v>0</v>
          </cell>
          <cell r="M8">
            <v>0</v>
          </cell>
          <cell r="N8">
            <v>0</v>
          </cell>
          <cell r="O8">
            <v>0</v>
          </cell>
          <cell r="P8">
            <v>0</v>
          </cell>
        </row>
        <row r="9">
          <cell r="B9" t="str">
            <v>A</v>
          </cell>
          <cell r="C9">
            <v>47430</v>
          </cell>
          <cell r="D9" t="str">
            <v>AFP</v>
          </cell>
          <cell r="E9" t="str">
            <v>Oxfam Payment Vouchers*</v>
          </cell>
          <cell r="F9" t="str">
            <v>S</v>
          </cell>
          <cell r="H9">
            <v>2.8</v>
          </cell>
          <cell r="I9">
            <v>0</v>
          </cell>
          <cell r="J9">
            <v>0</v>
          </cell>
          <cell r="K9">
            <v>0</v>
          </cell>
          <cell r="L9">
            <v>0</v>
          </cell>
          <cell r="M9">
            <v>0</v>
          </cell>
          <cell r="N9">
            <v>0</v>
          </cell>
          <cell r="O9">
            <v>0</v>
          </cell>
          <cell r="P9">
            <v>0</v>
          </cell>
        </row>
        <row r="10">
          <cell r="B10" t="str">
            <v>A</v>
          </cell>
          <cell r="C10">
            <v>47430</v>
          </cell>
          <cell r="D10" t="str">
            <v>AFR</v>
          </cell>
          <cell r="E10" t="str">
            <v>Oxfam Receipt Vouchers*</v>
          </cell>
          <cell r="F10" t="str">
            <v>S</v>
          </cell>
          <cell r="H10">
            <v>2.8</v>
          </cell>
          <cell r="I10">
            <v>0</v>
          </cell>
          <cell r="J10">
            <v>0</v>
          </cell>
          <cell r="K10">
            <v>0</v>
          </cell>
          <cell r="L10">
            <v>0</v>
          </cell>
          <cell r="M10">
            <v>0</v>
          </cell>
          <cell r="N10">
            <v>0</v>
          </cell>
          <cell r="O10">
            <v>0</v>
          </cell>
          <cell r="P10">
            <v>0</v>
          </cell>
        </row>
        <row r="11">
          <cell r="B11" t="str">
            <v>A</v>
          </cell>
          <cell r="C11">
            <v>46203</v>
          </cell>
          <cell r="D11" t="str">
            <v>ALP</v>
          </cell>
          <cell r="E11" t="str">
            <v>Laptop Computer Kit</v>
          </cell>
          <cell r="F11" t="str">
            <v>S</v>
          </cell>
          <cell r="H11">
            <v>1044.51</v>
          </cell>
          <cell r="I11">
            <v>0</v>
          </cell>
          <cell r="J11">
            <v>8</v>
          </cell>
          <cell r="K11">
            <v>0.108241</v>
          </cell>
          <cell r="L11">
            <v>0</v>
          </cell>
          <cell r="M11">
            <v>0</v>
          </cell>
          <cell r="N11">
            <v>47</v>
          </cell>
          <cell r="O11">
            <v>47</v>
          </cell>
          <cell r="P11">
            <v>49</v>
          </cell>
        </row>
        <row r="12">
          <cell r="B12" t="str">
            <v>A</v>
          </cell>
          <cell r="C12">
            <v>46059</v>
          </cell>
          <cell r="D12" t="str">
            <v>ALT</v>
          </cell>
          <cell r="E12" t="str">
            <v>Large Living Tent</v>
          </cell>
          <cell r="F12" t="str">
            <v>S</v>
          </cell>
          <cell r="G12">
            <v>2</v>
          </cell>
          <cell r="H12">
            <v>662.41</v>
          </cell>
          <cell r="I12">
            <v>1324.82</v>
          </cell>
          <cell r="J12">
            <v>130</v>
          </cell>
          <cell r="K12">
            <v>0.45171</v>
          </cell>
          <cell r="L12">
            <v>260</v>
          </cell>
          <cell r="M12">
            <v>0.90342</v>
          </cell>
          <cell r="N12">
            <v>239</v>
          </cell>
          <cell r="O12">
            <v>54</v>
          </cell>
          <cell r="P12">
            <v>35</v>
          </cell>
        </row>
        <row r="13">
          <cell r="B13" t="str">
            <v>A</v>
          </cell>
          <cell r="C13">
            <v>45549</v>
          </cell>
          <cell r="D13" t="str">
            <v>AMB</v>
          </cell>
          <cell r="E13" t="str">
            <v>Money Belt*</v>
          </cell>
          <cell r="F13" t="str">
            <v>S</v>
          </cell>
          <cell r="H13">
            <v>3.99</v>
          </cell>
          <cell r="I13">
            <v>0</v>
          </cell>
          <cell r="J13">
            <v>0.1</v>
          </cell>
          <cell r="K13">
            <v>2.52E-4</v>
          </cell>
          <cell r="L13">
            <v>0</v>
          </cell>
          <cell r="M13">
            <v>0</v>
          </cell>
          <cell r="N13">
            <v>6</v>
          </cell>
          <cell r="O13">
            <v>14</v>
          </cell>
          <cell r="P13">
            <v>3</v>
          </cell>
        </row>
        <row r="14">
          <cell r="B14" t="str">
            <v>A</v>
          </cell>
          <cell r="C14">
            <v>48004</v>
          </cell>
          <cell r="D14" t="str">
            <v>AND</v>
          </cell>
          <cell r="E14" t="str">
            <v>Double Mosquito Net*</v>
          </cell>
          <cell r="F14" t="str">
            <v>S</v>
          </cell>
          <cell r="H14">
            <v>40.718200000000003</v>
          </cell>
          <cell r="I14">
            <v>0</v>
          </cell>
          <cell r="J14">
            <v>2</v>
          </cell>
          <cell r="K14">
            <v>4.2560000000000002E-3</v>
          </cell>
          <cell r="L14">
            <v>0</v>
          </cell>
          <cell r="M14">
            <v>0</v>
          </cell>
          <cell r="N14">
            <v>38</v>
          </cell>
          <cell r="O14">
            <v>28</v>
          </cell>
          <cell r="P14">
            <v>4</v>
          </cell>
        </row>
        <row r="15">
          <cell r="B15" t="str">
            <v>A</v>
          </cell>
          <cell r="C15">
            <v>48004</v>
          </cell>
          <cell r="D15" t="str">
            <v>ANR</v>
          </cell>
          <cell r="E15" t="str">
            <v>Mosquito Net Reimpregnation Kit*</v>
          </cell>
          <cell r="F15" t="str">
            <v>S</v>
          </cell>
          <cell r="H15">
            <v>4.5</v>
          </cell>
          <cell r="I15">
            <v>0</v>
          </cell>
          <cell r="J15">
            <v>1</v>
          </cell>
          <cell r="K15">
            <v>2.9999999999999997E-4</v>
          </cell>
          <cell r="L15">
            <v>0</v>
          </cell>
          <cell r="M15">
            <v>0</v>
          </cell>
          <cell r="N15">
            <v>12</v>
          </cell>
          <cell r="O15">
            <v>5</v>
          </cell>
          <cell r="P15">
            <v>5</v>
          </cell>
        </row>
        <row r="16">
          <cell r="B16" t="str">
            <v>A</v>
          </cell>
          <cell r="C16">
            <v>47433</v>
          </cell>
          <cell r="D16" t="str">
            <v>AOS1</v>
          </cell>
          <cell r="E16" t="str">
            <v>Oxfam T-Shirt Size Large*</v>
          </cell>
          <cell r="F16" t="str">
            <v>S</v>
          </cell>
          <cell r="H16">
            <v>3.68</v>
          </cell>
          <cell r="I16">
            <v>0</v>
          </cell>
          <cell r="J16">
            <v>0.2</v>
          </cell>
          <cell r="K16">
            <v>1.2E-4</v>
          </cell>
          <cell r="L16">
            <v>0</v>
          </cell>
          <cell r="M16">
            <v>0</v>
          </cell>
          <cell r="N16">
            <v>12</v>
          </cell>
          <cell r="O16">
            <v>10</v>
          </cell>
          <cell r="P16">
            <v>1</v>
          </cell>
        </row>
        <row r="17">
          <cell r="B17" t="str">
            <v>A</v>
          </cell>
          <cell r="C17">
            <v>47433</v>
          </cell>
          <cell r="D17" t="str">
            <v>AOS2</v>
          </cell>
          <cell r="E17" t="str">
            <v>Oxfam T-Shirt X-Large*</v>
          </cell>
          <cell r="F17" t="str">
            <v>S</v>
          </cell>
          <cell r="H17">
            <v>3.25</v>
          </cell>
          <cell r="I17">
            <v>0</v>
          </cell>
          <cell r="J17">
            <v>0.2</v>
          </cell>
          <cell r="K17">
            <v>1.2E-4</v>
          </cell>
          <cell r="L17">
            <v>0</v>
          </cell>
          <cell r="M17">
            <v>0</v>
          </cell>
          <cell r="N17">
            <v>12</v>
          </cell>
          <cell r="O17">
            <v>10</v>
          </cell>
          <cell r="P17">
            <v>1</v>
          </cell>
        </row>
        <row r="18">
          <cell r="B18" t="str">
            <v>A</v>
          </cell>
          <cell r="C18">
            <v>47433</v>
          </cell>
          <cell r="D18" t="str">
            <v>AOT</v>
          </cell>
          <cell r="E18" t="str">
            <v>Oxfam Logo Tape*</v>
          </cell>
          <cell r="F18" t="str">
            <v>S</v>
          </cell>
          <cell r="H18">
            <v>1.46</v>
          </cell>
          <cell r="I18">
            <v>0</v>
          </cell>
          <cell r="J18">
            <v>0.3</v>
          </cell>
          <cell r="K18">
            <v>7.2000000000000005E-4</v>
          </cell>
          <cell r="L18">
            <v>0</v>
          </cell>
          <cell r="M18">
            <v>0</v>
          </cell>
          <cell r="N18">
            <v>12</v>
          </cell>
          <cell r="O18">
            <v>12</v>
          </cell>
          <cell r="P18">
            <v>5</v>
          </cell>
        </row>
        <row r="19">
          <cell r="B19" t="str">
            <v>A</v>
          </cell>
          <cell r="C19">
            <v>47411</v>
          </cell>
          <cell r="D19" t="str">
            <v>AOX</v>
          </cell>
          <cell r="E19" t="str">
            <v>Oxfam Specific Items</v>
          </cell>
          <cell r="F19" t="str">
            <v>S</v>
          </cell>
          <cell r="H19">
            <v>405.66</v>
          </cell>
          <cell r="I19">
            <v>0</v>
          </cell>
          <cell r="J19">
            <v>32</v>
          </cell>
          <cell r="K19">
            <v>7.9523999999999997E-2</v>
          </cell>
          <cell r="L19">
            <v>0</v>
          </cell>
          <cell r="M19">
            <v>0</v>
          </cell>
          <cell r="N19">
            <v>47</v>
          </cell>
          <cell r="O19">
            <v>47</v>
          </cell>
          <cell r="P19">
            <v>36</v>
          </cell>
        </row>
        <row r="20">
          <cell r="B20" t="str">
            <v>A</v>
          </cell>
          <cell r="C20">
            <v>45549</v>
          </cell>
          <cell r="D20" t="str">
            <v>AP</v>
          </cell>
          <cell r="E20" t="str">
            <v>Personal Equipment for One Person</v>
          </cell>
          <cell r="F20" t="str">
            <v>S</v>
          </cell>
          <cell r="H20">
            <v>742.54</v>
          </cell>
          <cell r="I20">
            <v>0</v>
          </cell>
          <cell r="J20">
            <v>42</v>
          </cell>
          <cell r="K20">
            <v>0.48880800000000002</v>
          </cell>
          <cell r="L20">
            <v>0</v>
          </cell>
          <cell r="M20">
            <v>0</v>
          </cell>
          <cell r="N20">
            <v>108</v>
          </cell>
          <cell r="O20">
            <v>73</v>
          </cell>
          <cell r="P20">
            <v>62</v>
          </cell>
        </row>
        <row r="21">
          <cell r="B21" t="str">
            <v>A</v>
          </cell>
          <cell r="C21">
            <v>46209</v>
          </cell>
          <cell r="D21" t="str">
            <v>APC</v>
          </cell>
          <cell r="E21" t="str">
            <v>Photocopier with Spares &amp; Paper</v>
          </cell>
          <cell r="F21" t="str">
            <v>S</v>
          </cell>
          <cell r="H21">
            <v>965.48</v>
          </cell>
          <cell r="I21">
            <v>0</v>
          </cell>
          <cell r="J21">
            <v>112</v>
          </cell>
          <cell r="K21">
            <v>0.78781599999999996</v>
          </cell>
          <cell r="L21">
            <v>0</v>
          </cell>
          <cell r="M21">
            <v>0</v>
          </cell>
          <cell r="N21">
            <v>146</v>
          </cell>
          <cell r="O21">
            <v>76</v>
          </cell>
          <cell r="P21">
            <v>71</v>
          </cell>
        </row>
        <row r="22">
          <cell r="B22" t="str">
            <v>A</v>
          </cell>
          <cell r="C22">
            <v>46204</v>
          </cell>
          <cell r="D22" t="str">
            <v>APR</v>
          </cell>
          <cell r="E22" t="str">
            <v>Portable Printer Kit</v>
          </cell>
          <cell r="F22" t="str">
            <v>S</v>
          </cell>
          <cell r="H22">
            <v>235.87</v>
          </cell>
          <cell r="I22">
            <v>0</v>
          </cell>
          <cell r="J22">
            <v>7</v>
          </cell>
          <cell r="K22">
            <v>1.8981000000000001E-2</v>
          </cell>
          <cell r="L22">
            <v>0</v>
          </cell>
          <cell r="M22">
            <v>0</v>
          </cell>
          <cell r="N22">
            <v>37</v>
          </cell>
          <cell r="O22">
            <v>27</v>
          </cell>
          <cell r="P22">
            <v>19</v>
          </cell>
        </row>
        <row r="23">
          <cell r="B23" t="str">
            <v>A</v>
          </cell>
          <cell r="C23">
            <v>47430</v>
          </cell>
          <cell r="D23" t="str">
            <v>AS</v>
          </cell>
          <cell r="E23" t="str">
            <v>Complete Stationery Kit (comes in 2 boxes)</v>
          </cell>
          <cell r="F23" t="str">
            <v>S</v>
          </cell>
          <cell r="H23">
            <v>642.4</v>
          </cell>
          <cell r="I23">
            <v>0</v>
          </cell>
          <cell r="J23">
            <v>158</v>
          </cell>
          <cell r="K23">
            <v>0.50751999999999997</v>
          </cell>
          <cell r="L23">
            <v>0</v>
          </cell>
          <cell r="M23">
            <v>0</v>
          </cell>
          <cell r="N23">
            <v>52</v>
          </cell>
          <cell r="O23">
            <v>80</v>
          </cell>
          <cell r="P23">
            <v>122</v>
          </cell>
        </row>
        <row r="24">
          <cell r="B24" t="str">
            <v>A</v>
          </cell>
          <cell r="C24">
            <v>45509</v>
          </cell>
          <cell r="D24" t="str">
            <v>ASB</v>
          </cell>
          <cell r="E24" t="str">
            <v>Sleeping Bag</v>
          </cell>
          <cell r="F24" t="str">
            <v>S</v>
          </cell>
          <cell r="H24">
            <v>20.93</v>
          </cell>
          <cell r="I24">
            <v>0</v>
          </cell>
          <cell r="J24">
            <v>2</v>
          </cell>
          <cell r="K24">
            <v>1.9359999999999999E-2</v>
          </cell>
          <cell r="L24">
            <v>0</v>
          </cell>
          <cell r="M24">
            <v>0</v>
          </cell>
          <cell r="N24">
            <v>40</v>
          </cell>
          <cell r="O24">
            <v>22</v>
          </cell>
          <cell r="P24">
            <v>22</v>
          </cell>
        </row>
        <row r="25">
          <cell r="B25" t="str">
            <v>A</v>
          </cell>
          <cell r="C25">
            <v>45549</v>
          </cell>
          <cell r="D25" t="str">
            <v>ASHK</v>
          </cell>
          <cell r="E25" t="str">
            <v>Staff Health Kit*</v>
          </cell>
          <cell r="F25" t="str">
            <v>S</v>
          </cell>
          <cell r="H25">
            <v>29.67</v>
          </cell>
          <cell r="I25">
            <v>0</v>
          </cell>
          <cell r="J25">
            <v>0.8</v>
          </cell>
          <cell r="K25">
            <v>3.5999999999999999E-3</v>
          </cell>
          <cell r="L25">
            <v>0</v>
          </cell>
          <cell r="M25">
            <v>0</v>
          </cell>
          <cell r="N25">
            <v>20</v>
          </cell>
          <cell r="O25">
            <v>20</v>
          </cell>
          <cell r="P25">
            <v>9</v>
          </cell>
        </row>
        <row r="26">
          <cell r="B26" t="str">
            <v>A</v>
          </cell>
          <cell r="C26">
            <v>45549</v>
          </cell>
          <cell r="D26" t="str">
            <v>ASK</v>
          </cell>
          <cell r="E26" t="str">
            <v>Syringe Kit</v>
          </cell>
          <cell r="F26" t="str">
            <v>S</v>
          </cell>
          <cell r="H26">
            <v>2.5499999999999998</v>
          </cell>
          <cell r="I26">
            <v>0</v>
          </cell>
          <cell r="J26">
            <v>0.1</v>
          </cell>
          <cell r="K26">
            <v>2.34E-4</v>
          </cell>
          <cell r="L26">
            <v>0</v>
          </cell>
          <cell r="M26">
            <v>0</v>
          </cell>
          <cell r="N26">
            <v>13</v>
          </cell>
          <cell r="O26">
            <v>9</v>
          </cell>
          <cell r="P26">
            <v>2</v>
          </cell>
        </row>
        <row r="27">
          <cell r="B27" t="str">
            <v>A</v>
          </cell>
          <cell r="C27">
            <v>45549</v>
          </cell>
          <cell r="D27" t="str">
            <v>ASTDD</v>
          </cell>
          <cell r="E27" t="str">
            <v>Small Tent Double Dome (For Use In Mixed Cond</v>
          </cell>
          <cell r="F27" t="str">
            <v>S</v>
          </cell>
          <cell r="H27">
            <v>192.42</v>
          </cell>
          <cell r="I27">
            <v>0</v>
          </cell>
          <cell r="J27">
            <v>12</v>
          </cell>
          <cell r="K27">
            <v>6.7599999999999993E-2</v>
          </cell>
          <cell r="L27">
            <v>0</v>
          </cell>
          <cell r="M27">
            <v>0</v>
          </cell>
          <cell r="N27">
            <v>100</v>
          </cell>
          <cell r="O27">
            <v>26</v>
          </cell>
          <cell r="P27">
            <v>26</v>
          </cell>
        </row>
        <row r="28">
          <cell r="B28" t="str">
            <v>A</v>
          </cell>
          <cell r="C28">
            <v>45508</v>
          </cell>
          <cell r="D28" t="str">
            <v>ASTID</v>
          </cell>
          <cell r="E28" t="str">
            <v>Small Tent Individual Dome</v>
          </cell>
          <cell r="F28" t="str">
            <v>S</v>
          </cell>
          <cell r="H28">
            <v>67.94</v>
          </cell>
          <cell r="I28">
            <v>0</v>
          </cell>
          <cell r="J28">
            <v>4</v>
          </cell>
          <cell r="K28">
            <v>3.2832E-2</v>
          </cell>
          <cell r="L28">
            <v>0</v>
          </cell>
          <cell r="M28">
            <v>0</v>
          </cell>
          <cell r="N28">
            <v>57</v>
          </cell>
          <cell r="O28">
            <v>24</v>
          </cell>
          <cell r="P28">
            <v>24</v>
          </cell>
        </row>
        <row r="29">
          <cell r="B29" t="str">
            <v>A</v>
          </cell>
          <cell r="C29">
            <v>45508</v>
          </cell>
          <cell r="D29" t="str">
            <v>ASTRD</v>
          </cell>
          <cell r="E29" t="str">
            <v>Small Ridged Tent (For Use In Hot Dry Condition</v>
          </cell>
          <cell r="F29" t="str">
            <v>S</v>
          </cell>
          <cell r="H29">
            <v>244.48</v>
          </cell>
          <cell r="I29">
            <v>0</v>
          </cell>
          <cell r="J29">
            <v>20</v>
          </cell>
          <cell r="K29">
            <v>0.121644</v>
          </cell>
          <cell r="L29">
            <v>0</v>
          </cell>
          <cell r="M29">
            <v>0</v>
          </cell>
          <cell r="N29">
            <v>109</v>
          </cell>
          <cell r="O29">
            <v>36</v>
          </cell>
          <cell r="P29">
            <v>31</v>
          </cell>
        </row>
        <row r="30">
          <cell r="B30" t="str">
            <v>A</v>
          </cell>
          <cell r="C30">
            <v>45508</v>
          </cell>
          <cell r="D30" t="str">
            <v>ATK</v>
          </cell>
          <cell r="E30" t="str">
            <v>Emergency Transfusion Kit</v>
          </cell>
          <cell r="F30" t="str">
            <v>S</v>
          </cell>
          <cell r="H30">
            <v>30.39</v>
          </cell>
          <cell r="I30">
            <v>0</v>
          </cell>
          <cell r="J30">
            <v>2</v>
          </cell>
          <cell r="K30">
            <v>7.8399999999999997E-3</v>
          </cell>
          <cell r="L30">
            <v>0</v>
          </cell>
          <cell r="M30">
            <v>0</v>
          </cell>
          <cell r="N30">
            <v>40</v>
          </cell>
          <cell r="O30">
            <v>28</v>
          </cell>
          <cell r="P30">
            <v>7</v>
          </cell>
        </row>
        <row r="31">
          <cell r="B31" t="str">
            <v>A</v>
          </cell>
          <cell r="C31">
            <v>46075</v>
          </cell>
          <cell r="D31" t="str">
            <v>AUP</v>
          </cell>
          <cell r="E31" t="str">
            <v>Universal Adapter 3 pin to 2 pin*</v>
          </cell>
          <cell r="F31" t="str">
            <v>S</v>
          </cell>
          <cell r="H31">
            <v>5.85</v>
          </cell>
          <cell r="I31">
            <v>0</v>
          </cell>
          <cell r="J31">
            <v>0.1</v>
          </cell>
          <cell r="K31">
            <v>1.4999999999999999E-4</v>
          </cell>
          <cell r="L31">
            <v>0</v>
          </cell>
          <cell r="M31">
            <v>0</v>
          </cell>
          <cell r="N31">
            <v>6</v>
          </cell>
          <cell r="O31">
            <v>5</v>
          </cell>
          <cell r="P31">
            <v>5</v>
          </cell>
        </row>
        <row r="32">
          <cell r="B32" t="str">
            <v>A</v>
          </cell>
          <cell r="C32">
            <v>46075</v>
          </cell>
          <cell r="D32" t="str">
            <v>AUP2</v>
          </cell>
          <cell r="E32" t="str">
            <v>Travel Adapter 2 pin to 3 pin*</v>
          </cell>
          <cell r="F32" t="str">
            <v>S</v>
          </cell>
          <cell r="H32">
            <v>3.33</v>
          </cell>
          <cell r="I32">
            <v>0</v>
          </cell>
          <cell r="J32">
            <v>0.1</v>
          </cell>
          <cell r="K32">
            <v>1.8000000000000001E-4</v>
          </cell>
          <cell r="L32">
            <v>0</v>
          </cell>
          <cell r="M32">
            <v>0</v>
          </cell>
          <cell r="N32">
            <v>6</v>
          </cell>
          <cell r="O32">
            <v>6</v>
          </cell>
          <cell r="P32">
            <v>5</v>
          </cell>
        </row>
        <row r="33">
          <cell r="B33" t="str">
            <v>A</v>
          </cell>
          <cell r="C33">
            <v>46075</v>
          </cell>
          <cell r="D33" t="str">
            <v>AVS</v>
          </cell>
          <cell r="E33" t="str">
            <v>Automatic Voltage Switch 13 A*</v>
          </cell>
          <cell r="F33" t="str">
            <v>S</v>
          </cell>
          <cell r="H33">
            <v>56.05</v>
          </cell>
          <cell r="I33">
            <v>0</v>
          </cell>
          <cell r="J33">
            <v>1</v>
          </cell>
          <cell r="K33">
            <v>1.3860000000000001E-3</v>
          </cell>
          <cell r="L33">
            <v>0</v>
          </cell>
          <cell r="M33">
            <v>0</v>
          </cell>
          <cell r="N33">
            <v>21</v>
          </cell>
          <cell r="O33">
            <v>11</v>
          </cell>
          <cell r="P33">
            <v>6</v>
          </cell>
        </row>
        <row r="34">
          <cell r="B34" t="str">
            <v>A</v>
          </cell>
          <cell r="C34">
            <v>46075</v>
          </cell>
          <cell r="D34" t="str">
            <v>AX1B</v>
          </cell>
          <cell r="E34" t="str">
            <v>Water Filter SS4</v>
          </cell>
          <cell r="F34" t="str">
            <v>S</v>
          </cell>
          <cell r="H34">
            <v>42.3217</v>
          </cell>
          <cell r="I34">
            <v>0</v>
          </cell>
          <cell r="J34">
            <v>3</v>
          </cell>
          <cell r="K34">
            <v>2.2747E-2</v>
          </cell>
          <cell r="L34">
            <v>0</v>
          </cell>
          <cell r="M34">
            <v>0</v>
          </cell>
          <cell r="N34">
            <v>43</v>
          </cell>
          <cell r="O34">
            <v>23</v>
          </cell>
          <cell r="P34">
            <v>23</v>
          </cell>
        </row>
        <row r="35">
          <cell r="B35" t="str">
            <v>A</v>
          </cell>
          <cell r="C35">
            <v>46075</v>
          </cell>
          <cell r="D35" t="str">
            <v>AZF</v>
          </cell>
          <cell r="E35" t="str">
            <v>Super Sterasyl Candle</v>
          </cell>
          <cell r="F35" t="str">
            <v>S</v>
          </cell>
          <cell r="H35">
            <v>4.8499999999999996</v>
          </cell>
          <cell r="I35">
            <v>0</v>
          </cell>
          <cell r="J35">
            <v>0</v>
          </cell>
          <cell r="K35">
            <v>7.2000000000000002E-5</v>
          </cell>
          <cell r="L35">
            <v>0</v>
          </cell>
          <cell r="M35">
            <v>0</v>
          </cell>
          <cell r="N35">
            <v>8</v>
          </cell>
          <cell r="O35">
            <v>3</v>
          </cell>
          <cell r="P35">
            <v>3</v>
          </cell>
        </row>
        <row r="36">
          <cell r="B36" t="str">
            <v>B</v>
          </cell>
          <cell r="C36">
            <v>48102</v>
          </cell>
          <cell r="D36" t="str">
            <v>BC4</v>
          </cell>
          <cell r="E36" t="str">
            <v>Borehole Compressor (For 4" Dia. Oxfam Well Design)</v>
          </cell>
          <cell r="F36" t="str">
            <v>N</v>
          </cell>
          <cell r="H36">
            <v>13583.94</v>
          </cell>
          <cell r="I36">
            <v>0</v>
          </cell>
          <cell r="J36">
            <v>1665</v>
          </cell>
          <cell r="K36">
            <v>0</v>
          </cell>
          <cell r="L36">
            <v>0</v>
          </cell>
          <cell r="M36">
            <v>0</v>
          </cell>
        </row>
        <row r="37">
          <cell r="B37" t="str">
            <v>B</v>
          </cell>
          <cell r="C37">
            <v>48102</v>
          </cell>
          <cell r="D37" t="str">
            <v>BC6</v>
          </cell>
          <cell r="E37" t="str">
            <v>Borehole Compressor (For 6" Dia. Oxfam Well Design)</v>
          </cell>
          <cell r="F37" t="str">
            <v>N</v>
          </cell>
          <cell r="H37">
            <v>19852</v>
          </cell>
          <cell r="I37">
            <v>0</v>
          </cell>
          <cell r="J37">
            <v>1665</v>
          </cell>
          <cell r="K37">
            <v>0</v>
          </cell>
          <cell r="L37">
            <v>0</v>
          </cell>
          <cell r="M37">
            <v>0</v>
          </cell>
        </row>
        <row r="38">
          <cell r="B38" t="str">
            <v>B</v>
          </cell>
          <cell r="C38">
            <v>48102</v>
          </cell>
          <cell r="D38" t="str">
            <v>BC8</v>
          </cell>
          <cell r="E38" t="str">
            <v>Borehole Compressor (For 8" Dia. Oxfam Well Design)</v>
          </cell>
          <cell r="F38" t="str">
            <v>N</v>
          </cell>
          <cell r="H38">
            <v>44422.239999999998</v>
          </cell>
          <cell r="I38">
            <v>0</v>
          </cell>
          <cell r="J38">
            <v>4960</v>
          </cell>
          <cell r="K38">
            <v>24.573432</v>
          </cell>
          <cell r="L38">
            <v>0</v>
          </cell>
          <cell r="M38">
            <v>0</v>
          </cell>
          <cell r="N38">
            <v>221</v>
          </cell>
          <cell r="O38">
            <v>246</v>
          </cell>
          <cell r="P38">
            <v>452</v>
          </cell>
        </row>
        <row r="39">
          <cell r="B39" t="str">
            <v>B</v>
          </cell>
          <cell r="C39">
            <v>48104</v>
          </cell>
          <cell r="D39" t="str">
            <v>BDH4</v>
          </cell>
          <cell r="E39" t="str">
            <v>3" Down-the-Hole Hammer (for 4" Dia. Oxfam Well Design)</v>
          </cell>
          <cell r="F39" t="str">
            <v>N</v>
          </cell>
          <cell r="H39">
            <v>2122.75</v>
          </cell>
          <cell r="I39">
            <v>0</v>
          </cell>
          <cell r="J39">
            <v>76</v>
          </cell>
          <cell r="K39">
            <v>0</v>
          </cell>
          <cell r="L39">
            <v>0</v>
          </cell>
          <cell r="M39">
            <v>0</v>
          </cell>
        </row>
        <row r="40">
          <cell r="B40" t="str">
            <v>B</v>
          </cell>
          <cell r="C40">
            <v>48104</v>
          </cell>
          <cell r="D40" t="str">
            <v>BDH6</v>
          </cell>
          <cell r="E40" t="str">
            <v>4" Down-The-Hole Hammer (for 6" Dia. Oxfam Well Design)</v>
          </cell>
          <cell r="F40" t="str">
            <v>N</v>
          </cell>
          <cell r="H40">
            <v>4362</v>
          </cell>
          <cell r="I40">
            <v>0</v>
          </cell>
          <cell r="J40">
            <v>135</v>
          </cell>
          <cell r="K40">
            <v>0</v>
          </cell>
          <cell r="L40">
            <v>0</v>
          </cell>
          <cell r="M40">
            <v>0</v>
          </cell>
        </row>
        <row r="41">
          <cell r="B41" t="str">
            <v>B</v>
          </cell>
          <cell r="C41">
            <v>48104</v>
          </cell>
          <cell r="D41" t="str">
            <v>BDH8</v>
          </cell>
          <cell r="E41" t="str">
            <v>4" Down-The-Hole Hammer (for 8" Dia. Oxfam Well Design)</v>
          </cell>
          <cell r="F41" t="str">
            <v>N</v>
          </cell>
          <cell r="H41">
            <v>11498.15</v>
          </cell>
          <cell r="I41">
            <v>0</v>
          </cell>
          <cell r="J41">
            <v>880</v>
          </cell>
          <cell r="K41">
            <v>1.0009999999999999</v>
          </cell>
          <cell r="L41">
            <v>0</v>
          </cell>
          <cell r="M41">
            <v>0</v>
          </cell>
          <cell r="N41">
            <v>70</v>
          </cell>
          <cell r="O41">
            <v>130</v>
          </cell>
          <cell r="P41">
            <v>110</v>
          </cell>
        </row>
        <row r="42">
          <cell r="B42" t="str">
            <v>B</v>
          </cell>
          <cell r="C42">
            <v>48103</v>
          </cell>
          <cell r="D42" t="str">
            <v>BDR4</v>
          </cell>
          <cell r="E42" t="str">
            <v>Drilling Rig, (For 4" Dia. Oxfam Well Design)</v>
          </cell>
          <cell r="F42" t="str">
            <v>N</v>
          </cell>
          <cell r="H42">
            <v>19736.29</v>
          </cell>
          <cell r="I42">
            <v>0</v>
          </cell>
          <cell r="J42">
            <v>209</v>
          </cell>
          <cell r="K42">
            <v>0</v>
          </cell>
          <cell r="L42">
            <v>0</v>
          </cell>
          <cell r="M42">
            <v>0</v>
          </cell>
        </row>
        <row r="43">
          <cell r="B43" t="str">
            <v>B</v>
          </cell>
          <cell r="C43">
            <v>48103</v>
          </cell>
          <cell r="D43" t="str">
            <v>BDR6</v>
          </cell>
          <cell r="E43" t="str">
            <v>Drilling Rig, (for 6" Dia. Oxfam Well Design)</v>
          </cell>
          <cell r="F43" t="str">
            <v>N</v>
          </cell>
          <cell r="H43">
            <v>33430.78</v>
          </cell>
          <cell r="I43">
            <v>0</v>
          </cell>
          <cell r="J43">
            <v>196</v>
          </cell>
          <cell r="K43">
            <v>0</v>
          </cell>
          <cell r="L43">
            <v>0</v>
          </cell>
          <cell r="M43">
            <v>0</v>
          </cell>
        </row>
        <row r="44">
          <cell r="B44" t="str">
            <v>B</v>
          </cell>
          <cell r="C44">
            <v>48103</v>
          </cell>
          <cell r="D44" t="str">
            <v>BDR8</v>
          </cell>
          <cell r="E44" t="str">
            <v>Drilling Rig, (for 8" Dia. Oxfam Well Design)</v>
          </cell>
          <cell r="F44" t="str">
            <v>N</v>
          </cell>
          <cell r="H44">
            <v>60145.279999999999</v>
          </cell>
          <cell r="I44">
            <v>0</v>
          </cell>
          <cell r="J44">
            <v>14500</v>
          </cell>
          <cell r="K44">
            <v>31.784928000000001</v>
          </cell>
          <cell r="L44">
            <v>0</v>
          </cell>
          <cell r="M44">
            <v>0</v>
          </cell>
          <cell r="N44">
            <v>588</v>
          </cell>
          <cell r="O44">
            <v>232</v>
          </cell>
          <cell r="P44">
            <v>233</v>
          </cell>
        </row>
        <row r="45">
          <cell r="B45" t="str">
            <v>B</v>
          </cell>
          <cell r="C45">
            <v>48105</v>
          </cell>
          <cell r="D45" t="str">
            <v>BMP4</v>
          </cell>
          <cell r="E45" t="str">
            <v>Mud Pump (for 4" Dia. Oxfam Well Design)</v>
          </cell>
          <cell r="F45" t="str">
            <v>N</v>
          </cell>
          <cell r="H45">
            <v>2639.26</v>
          </cell>
          <cell r="I45">
            <v>0</v>
          </cell>
          <cell r="J45">
            <v>228</v>
          </cell>
          <cell r="K45">
            <v>0.67200000000000004</v>
          </cell>
          <cell r="L45">
            <v>0</v>
          </cell>
          <cell r="M45">
            <v>0</v>
          </cell>
          <cell r="N45">
            <v>128</v>
          </cell>
          <cell r="O45">
            <v>75</v>
          </cell>
          <cell r="P45">
            <v>70</v>
          </cell>
        </row>
        <row r="46">
          <cell r="B46" t="str">
            <v>B</v>
          </cell>
          <cell r="C46">
            <v>48105</v>
          </cell>
          <cell r="D46" t="str">
            <v>BMP6</v>
          </cell>
          <cell r="E46" t="str">
            <v>Mud Pump (for 6" Dia. Oxfam Well Design)</v>
          </cell>
          <cell r="F46" t="str">
            <v>N</v>
          </cell>
          <cell r="H46">
            <v>2639.26</v>
          </cell>
          <cell r="I46">
            <v>0</v>
          </cell>
          <cell r="J46">
            <v>288</v>
          </cell>
          <cell r="K46">
            <v>0.67200000000000004</v>
          </cell>
          <cell r="L46">
            <v>0</v>
          </cell>
          <cell r="M46">
            <v>0</v>
          </cell>
          <cell r="N46">
            <v>128</v>
          </cell>
          <cell r="O46">
            <v>75</v>
          </cell>
          <cell r="P46">
            <v>70</v>
          </cell>
        </row>
        <row r="47">
          <cell r="B47" t="str">
            <v>B</v>
          </cell>
          <cell r="C47">
            <v>48105</v>
          </cell>
          <cell r="D47" t="str">
            <v>BMP8</v>
          </cell>
          <cell r="E47" t="str">
            <v>Mud Pump (for 8" Dia. Oxfam Well Design)</v>
          </cell>
          <cell r="F47" t="str">
            <v>N</v>
          </cell>
          <cell r="H47">
            <v>3450</v>
          </cell>
          <cell r="I47">
            <v>0</v>
          </cell>
          <cell r="J47">
            <v>70</v>
          </cell>
          <cell r="K47">
            <v>1.08</v>
          </cell>
          <cell r="L47">
            <v>0</v>
          </cell>
          <cell r="M47">
            <v>0</v>
          </cell>
          <cell r="N47">
            <v>30</v>
          </cell>
          <cell r="O47">
            <v>30</v>
          </cell>
          <cell r="P47">
            <v>1200</v>
          </cell>
        </row>
        <row r="48">
          <cell r="B48" t="str">
            <v>B</v>
          </cell>
          <cell r="C48">
            <v>48101</v>
          </cell>
          <cell r="D48" t="str">
            <v>BPC</v>
          </cell>
          <cell r="E48" t="str">
            <v>Progressive Cavity Borehole Kit</v>
          </cell>
          <cell r="F48" t="str">
            <v>N</v>
          </cell>
          <cell r="H48">
            <v>5061</v>
          </cell>
          <cell r="I48">
            <v>0</v>
          </cell>
          <cell r="J48">
            <v>98</v>
          </cell>
          <cell r="K48">
            <v>3.9020000000000001</v>
          </cell>
          <cell r="L48">
            <v>0</v>
          </cell>
          <cell r="M48">
            <v>0</v>
          </cell>
        </row>
        <row r="49">
          <cell r="B49" t="str">
            <v>B</v>
          </cell>
          <cell r="C49">
            <v>48101</v>
          </cell>
          <cell r="D49" t="str">
            <v>BPCR2</v>
          </cell>
          <cell r="E49" t="str">
            <v>2" Rising Column for Progressive Cavity</v>
          </cell>
          <cell r="F49" t="str">
            <v>N</v>
          </cell>
          <cell r="H49">
            <v>1972</v>
          </cell>
          <cell r="I49">
            <v>0</v>
          </cell>
          <cell r="J49">
            <v>790</v>
          </cell>
          <cell r="K49">
            <v>0.81</v>
          </cell>
          <cell r="L49">
            <v>0</v>
          </cell>
          <cell r="M49">
            <v>0</v>
          </cell>
          <cell r="N49">
            <v>0</v>
          </cell>
          <cell r="O49">
            <v>0</v>
          </cell>
          <cell r="P49">
            <v>0</v>
          </cell>
        </row>
        <row r="50">
          <cell r="B50" t="str">
            <v>B</v>
          </cell>
          <cell r="C50">
            <v>48119</v>
          </cell>
          <cell r="D50" t="str">
            <v>BPTR</v>
          </cell>
          <cell r="E50" t="str">
            <v>Rising Pipe for Pump Testing</v>
          </cell>
          <cell r="F50" t="str">
            <v>N</v>
          </cell>
          <cell r="I50">
            <v>0</v>
          </cell>
          <cell r="K50">
            <v>0</v>
          </cell>
          <cell r="L50">
            <v>0</v>
          </cell>
          <cell r="M50">
            <v>0</v>
          </cell>
        </row>
        <row r="51">
          <cell r="B51" t="str">
            <v>B</v>
          </cell>
          <cell r="C51">
            <v>48101</v>
          </cell>
          <cell r="D51" t="str">
            <v>BSP12</v>
          </cell>
          <cell r="E51" t="str">
            <v>12GS55 Lowara Submersible Pump</v>
          </cell>
          <cell r="F51" t="str">
            <v>N</v>
          </cell>
          <cell r="H51">
            <v>674</v>
          </cell>
          <cell r="I51">
            <v>0</v>
          </cell>
          <cell r="K51">
            <v>0</v>
          </cell>
          <cell r="L51">
            <v>0</v>
          </cell>
          <cell r="M51">
            <v>0</v>
          </cell>
        </row>
        <row r="52">
          <cell r="B52" t="str">
            <v>B</v>
          </cell>
          <cell r="C52">
            <v>48101</v>
          </cell>
          <cell r="D52" t="str">
            <v>BSP16</v>
          </cell>
          <cell r="E52" t="str">
            <v>16GS55 Lowara Submersible Pump</v>
          </cell>
          <cell r="F52" t="str">
            <v>N</v>
          </cell>
          <cell r="H52">
            <v>745</v>
          </cell>
          <cell r="I52">
            <v>0</v>
          </cell>
          <cell r="K52">
            <v>0</v>
          </cell>
          <cell r="L52">
            <v>0</v>
          </cell>
          <cell r="M52">
            <v>0</v>
          </cell>
        </row>
        <row r="53">
          <cell r="B53" t="str">
            <v>B</v>
          </cell>
          <cell r="C53">
            <v>48101</v>
          </cell>
          <cell r="D53" t="str">
            <v>BSP8</v>
          </cell>
          <cell r="E53" t="str">
            <v>8GS55 Lowara Submersible Pump</v>
          </cell>
          <cell r="F53" t="str">
            <v>N</v>
          </cell>
          <cell r="H53">
            <v>633</v>
          </cell>
          <cell r="I53">
            <v>0</v>
          </cell>
          <cell r="K53">
            <v>0</v>
          </cell>
          <cell r="L53">
            <v>0</v>
          </cell>
          <cell r="M53">
            <v>0</v>
          </cell>
        </row>
        <row r="54">
          <cell r="B54" t="str">
            <v>B</v>
          </cell>
          <cell r="C54">
            <v>48101</v>
          </cell>
          <cell r="D54" t="str">
            <v>BSPE</v>
          </cell>
          <cell r="E54" t="str">
            <v>Submersible Borehole Pump Electric Kit</v>
          </cell>
          <cell r="F54" t="str">
            <v>N</v>
          </cell>
          <cell r="H54">
            <v>12655</v>
          </cell>
          <cell r="I54">
            <v>0</v>
          </cell>
          <cell r="K54">
            <v>0</v>
          </cell>
          <cell r="L54">
            <v>0</v>
          </cell>
          <cell r="M54">
            <v>0</v>
          </cell>
        </row>
        <row r="55">
          <cell r="B55" t="str">
            <v>B</v>
          </cell>
          <cell r="C55">
            <v>48101</v>
          </cell>
          <cell r="D55" t="str">
            <v>BSPR2</v>
          </cell>
          <cell r="E55" t="str">
            <v>2" Rising Pipe for Electric Submersible (2 boxes)</v>
          </cell>
          <cell r="F55" t="str">
            <v>N</v>
          </cell>
          <cell r="H55">
            <v>985</v>
          </cell>
          <cell r="I55">
            <v>0</v>
          </cell>
          <cell r="J55">
            <v>586</v>
          </cell>
          <cell r="K55">
            <v>1.0502819999999999</v>
          </cell>
          <cell r="L55">
            <v>0</v>
          </cell>
          <cell r="M55">
            <v>0</v>
          </cell>
          <cell r="N55">
            <v>333</v>
          </cell>
          <cell r="O55">
            <v>83</v>
          </cell>
          <cell r="P55">
            <v>38</v>
          </cell>
        </row>
        <row r="56">
          <cell r="B56" t="str">
            <v>C</v>
          </cell>
          <cell r="C56">
            <v>48651</v>
          </cell>
          <cell r="D56" t="str">
            <v>CKB</v>
          </cell>
          <cell r="E56" t="str">
            <v>20 Knitted Blankets</v>
          </cell>
          <cell r="F56" t="str">
            <v>S</v>
          </cell>
          <cell r="H56">
            <v>0</v>
          </cell>
          <cell r="I56">
            <v>0</v>
          </cell>
          <cell r="J56">
            <v>22</v>
          </cell>
          <cell r="K56">
            <v>8.7984000000000007E-2</v>
          </cell>
          <cell r="L56">
            <v>0</v>
          </cell>
          <cell r="M56">
            <v>0</v>
          </cell>
          <cell r="N56">
            <v>72</v>
          </cell>
          <cell r="O56">
            <v>47</v>
          </cell>
          <cell r="P56">
            <v>26</v>
          </cell>
        </row>
        <row r="57">
          <cell r="B57" t="str">
            <v>C</v>
          </cell>
          <cell r="C57">
            <v>48650</v>
          </cell>
          <cell r="D57" t="str">
            <v>CKCC</v>
          </cell>
          <cell r="E57" t="str">
            <v>Childrens Cottons</v>
          </cell>
          <cell r="F57" t="str">
            <v>S</v>
          </cell>
          <cell r="H57">
            <v>0</v>
          </cell>
          <cell r="I57">
            <v>0</v>
          </cell>
          <cell r="J57">
            <v>22</v>
          </cell>
          <cell r="K57">
            <v>7.4880000000000002E-2</v>
          </cell>
          <cell r="L57">
            <v>0</v>
          </cell>
          <cell r="M57">
            <v>0</v>
          </cell>
          <cell r="N57">
            <v>60</v>
          </cell>
          <cell r="O57">
            <v>48</v>
          </cell>
          <cell r="P57">
            <v>26</v>
          </cell>
        </row>
        <row r="58">
          <cell r="B58" t="str">
            <v>C</v>
          </cell>
          <cell r="C58">
            <v>48650</v>
          </cell>
          <cell r="D58" t="str">
            <v>CKTR</v>
          </cell>
          <cell r="E58" t="str">
            <v>Regular Childrens Knitted Tops</v>
          </cell>
          <cell r="F58" t="str">
            <v>S</v>
          </cell>
          <cell r="H58">
            <v>0</v>
          </cell>
          <cell r="I58">
            <v>0</v>
          </cell>
          <cell r="J58">
            <v>22</v>
          </cell>
          <cell r="K58">
            <v>8.7984000000000007E-2</v>
          </cell>
          <cell r="L58">
            <v>0</v>
          </cell>
          <cell r="M58">
            <v>0</v>
          </cell>
          <cell r="N58">
            <v>72</v>
          </cell>
          <cell r="O58">
            <v>47</v>
          </cell>
          <cell r="P58">
            <v>26</v>
          </cell>
        </row>
        <row r="59">
          <cell r="B59" t="str">
            <v>C</v>
          </cell>
          <cell r="C59">
            <v>48650</v>
          </cell>
          <cell r="D59" t="str">
            <v>CKTS</v>
          </cell>
          <cell r="E59" t="str">
            <v>Small Childrens Knitted Tops</v>
          </cell>
          <cell r="F59" t="str">
            <v>S</v>
          </cell>
          <cell r="H59">
            <v>0</v>
          </cell>
          <cell r="I59">
            <v>0</v>
          </cell>
          <cell r="J59">
            <v>22</v>
          </cell>
          <cell r="K59">
            <v>8.7984000000000007E-2</v>
          </cell>
          <cell r="L59">
            <v>0</v>
          </cell>
          <cell r="M59">
            <v>0</v>
          </cell>
          <cell r="N59">
            <v>72</v>
          </cell>
          <cell r="O59">
            <v>47</v>
          </cell>
          <cell r="P59">
            <v>26</v>
          </cell>
        </row>
        <row r="60">
          <cell r="B60" t="str">
            <v>C</v>
          </cell>
          <cell r="C60">
            <v>48651</v>
          </cell>
          <cell r="D60" t="str">
            <v>CWB</v>
          </cell>
          <cell r="E60" t="str">
            <v>Woven Blanket</v>
          </cell>
          <cell r="F60" t="str">
            <v>N</v>
          </cell>
          <cell r="H60">
            <v>85.01</v>
          </cell>
          <cell r="I60">
            <v>0</v>
          </cell>
          <cell r="J60">
            <v>28</v>
          </cell>
          <cell r="K60">
            <v>0.17197599999999999</v>
          </cell>
          <cell r="L60">
            <v>0</v>
          </cell>
          <cell r="M60">
            <v>0</v>
          </cell>
          <cell r="N60">
            <v>83</v>
          </cell>
          <cell r="O60">
            <v>37</v>
          </cell>
          <cell r="P60">
            <v>56</v>
          </cell>
        </row>
        <row r="61">
          <cell r="B61" t="str">
            <v>C</v>
          </cell>
          <cell r="C61">
            <v>48650</v>
          </cell>
          <cell r="D61" t="str">
            <v>CWAC</v>
          </cell>
          <cell r="E61" t="str">
            <v>Cold Weather Second-Hand Adults' Coats**</v>
          </cell>
          <cell r="F61" t="str">
            <v>S</v>
          </cell>
          <cell r="H61">
            <v>0</v>
          </cell>
          <cell r="I61">
            <v>0</v>
          </cell>
          <cell r="J61">
            <v>50</v>
          </cell>
          <cell r="K61">
            <v>0.38169599999999998</v>
          </cell>
          <cell r="L61">
            <v>0</v>
          </cell>
          <cell r="M61">
            <v>0</v>
          </cell>
          <cell r="N61">
            <v>71</v>
          </cell>
          <cell r="O61">
            <v>56</v>
          </cell>
          <cell r="P61">
            <v>96</v>
          </cell>
        </row>
        <row r="62">
          <cell r="B62" t="str">
            <v>C</v>
          </cell>
          <cell r="C62">
            <v>48650</v>
          </cell>
          <cell r="D62" t="str">
            <v>CWCC</v>
          </cell>
          <cell r="E62" t="str">
            <v>Cold Weather Second-Hand Children's Coats**</v>
          </cell>
          <cell r="F62" t="str">
            <v>S</v>
          </cell>
          <cell r="I62">
            <v>0</v>
          </cell>
          <cell r="J62">
            <v>50</v>
          </cell>
          <cell r="K62">
            <v>0.38169599999999998</v>
          </cell>
          <cell r="L62">
            <v>0</v>
          </cell>
          <cell r="M62">
            <v>0</v>
          </cell>
          <cell r="N62">
            <v>71</v>
          </cell>
          <cell r="O62">
            <v>56</v>
          </cell>
          <cell r="P62">
            <v>96</v>
          </cell>
        </row>
        <row r="63">
          <cell r="B63" t="str">
            <v>C</v>
          </cell>
          <cell r="C63">
            <v>48650</v>
          </cell>
          <cell r="D63" t="str">
            <v>CWCJ</v>
          </cell>
          <cell r="E63" t="str">
            <v>Cold Weather Second-Hand Children's Jumpers**</v>
          </cell>
          <cell r="F63" t="str">
            <v>S</v>
          </cell>
          <cell r="I63">
            <v>0</v>
          </cell>
          <cell r="J63">
            <v>50</v>
          </cell>
          <cell r="K63">
            <v>0.38169599999999998</v>
          </cell>
          <cell r="L63">
            <v>0</v>
          </cell>
          <cell r="M63">
            <v>0</v>
          </cell>
          <cell r="N63">
            <v>71</v>
          </cell>
          <cell r="O63">
            <v>56</v>
          </cell>
          <cell r="P63">
            <v>96</v>
          </cell>
        </row>
        <row r="64">
          <cell r="B64" t="str">
            <v>D</v>
          </cell>
          <cell r="C64">
            <v>48123</v>
          </cell>
          <cell r="D64" t="str">
            <v>DA</v>
          </cell>
          <cell r="E64" t="str">
            <v>Distribution Adaptation Kit</v>
          </cell>
          <cell r="F64" t="str">
            <v>S</v>
          </cell>
          <cell r="H64">
            <v>495</v>
          </cell>
          <cell r="I64">
            <v>0</v>
          </cell>
          <cell r="J64">
            <v>68</v>
          </cell>
          <cell r="K64">
            <v>0.114576</v>
          </cell>
          <cell r="L64">
            <v>0</v>
          </cell>
          <cell r="M64">
            <v>0</v>
          </cell>
          <cell r="N64">
            <v>62</v>
          </cell>
          <cell r="O64">
            <v>42</v>
          </cell>
          <cell r="P64">
            <v>44</v>
          </cell>
        </row>
        <row r="65">
          <cell r="B65" t="str">
            <v>D</v>
          </cell>
          <cell r="C65">
            <v>48139</v>
          </cell>
          <cell r="D65" t="str">
            <v>DBW</v>
          </cell>
          <cell r="E65" t="str">
            <v>Butt Fusion Welding Machine for PE Pipe</v>
          </cell>
          <cell r="F65" t="str">
            <v>N</v>
          </cell>
          <cell r="G65">
            <v>1</v>
          </cell>
          <cell r="H65">
            <v>3260</v>
          </cell>
          <cell r="I65">
            <v>3260</v>
          </cell>
          <cell r="J65">
            <v>140</v>
          </cell>
          <cell r="K65">
            <v>0.41599999999999998</v>
          </cell>
          <cell r="L65">
            <v>140</v>
          </cell>
          <cell r="M65">
            <v>0.41599999999999998</v>
          </cell>
          <cell r="N65">
            <v>80</v>
          </cell>
          <cell r="O65">
            <v>65</v>
          </cell>
          <cell r="P65">
            <v>80</v>
          </cell>
        </row>
        <row r="66">
          <cell r="B66" t="str">
            <v>D</v>
          </cell>
          <cell r="C66">
            <v>48123</v>
          </cell>
          <cell r="D66" t="str">
            <v>DF2</v>
          </cell>
          <cell r="E66" t="str">
            <v>63mm (OD) Distribution Fittings Kit For PE &amp; uPVC</v>
          </cell>
          <cell r="F66" t="str">
            <v>S</v>
          </cell>
          <cell r="H66">
            <v>232.94739999999999</v>
          </cell>
          <cell r="I66">
            <v>0</v>
          </cell>
          <cell r="J66">
            <v>24</v>
          </cell>
          <cell r="K66">
            <v>0.114576</v>
          </cell>
          <cell r="L66">
            <v>0</v>
          </cell>
          <cell r="M66">
            <v>0</v>
          </cell>
          <cell r="N66">
            <v>62</v>
          </cell>
          <cell r="O66">
            <v>42</v>
          </cell>
          <cell r="P66">
            <v>44</v>
          </cell>
        </row>
        <row r="67">
          <cell r="B67" t="str">
            <v>D</v>
          </cell>
          <cell r="C67">
            <v>48123</v>
          </cell>
          <cell r="D67" t="str">
            <v>DF3</v>
          </cell>
          <cell r="E67" t="str">
            <v>90mm (OD) Distribution Fittings Kit for PE+UPVC P</v>
          </cell>
          <cell r="F67" t="str">
            <v>S</v>
          </cell>
          <cell r="G67">
            <v>2</v>
          </cell>
          <cell r="H67">
            <v>437.89</v>
          </cell>
          <cell r="I67">
            <v>875.78</v>
          </cell>
          <cell r="J67">
            <v>90</v>
          </cell>
          <cell r="K67">
            <v>0.44519999999999998</v>
          </cell>
          <cell r="L67">
            <v>180</v>
          </cell>
          <cell r="M67">
            <v>0.89039999999999997</v>
          </cell>
          <cell r="N67">
            <v>106</v>
          </cell>
          <cell r="O67">
            <v>105</v>
          </cell>
          <cell r="P67">
            <v>40</v>
          </cell>
        </row>
        <row r="68">
          <cell r="B68" t="str">
            <v>D</v>
          </cell>
          <cell r="C68">
            <v>48123</v>
          </cell>
          <cell r="D68" t="str">
            <v>DFU4</v>
          </cell>
          <cell r="E68" t="str">
            <v>4" Distribution Fittings Kit For uPVC Pipe</v>
          </cell>
          <cell r="F68" t="str">
            <v>N</v>
          </cell>
          <cell r="H68">
            <v>671.67</v>
          </cell>
          <cell r="I68">
            <v>0</v>
          </cell>
          <cell r="J68">
            <v>55</v>
          </cell>
          <cell r="K68">
            <v>0.40243200000000001</v>
          </cell>
          <cell r="L68">
            <v>0</v>
          </cell>
          <cell r="M68">
            <v>0</v>
          </cell>
          <cell r="N68">
            <v>131</v>
          </cell>
          <cell r="O68">
            <v>64</v>
          </cell>
          <cell r="P68">
            <v>48</v>
          </cell>
        </row>
        <row r="69">
          <cell r="B69" t="str">
            <v>D</v>
          </cell>
          <cell r="C69">
            <v>48123</v>
          </cell>
          <cell r="D69" t="str">
            <v>DFU6</v>
          </cell>
          <cell r="E69" t="str">
            <v>6" Distribution Fittings Kit for uPVC Pipe</v>
          </cell>
          <cell r="F69" t="str">
            <v>N</v>
          </cell>
          <cell r="H69">
            <v>1157</v>
          </cell>
          <cell r="I69">
            <v>0</v>
          </cell>
          <cell r="J69">
            <v>168</v>
          </cell>
          <cell r="K69">
            <v>1.0013639999999999</v>
          </cell>
          <cell r="L69">
            <v>0</v>
          </cell>
          <cell r="M69">
            <v>0</v>
          </cell>
          <cell r="N69">
            <v>131</v>
          </cell>
          <cell r="O69">
            <v>91</v>
          </cell>
          <cell r="P69">
            <v>84</v>
          </cell>
        </row>
        <row r="70">
          <cell r="B70" t="str">
            <v>D</v>
          </cell>
          <cell r="C70">
            <v>48123</v>
          </cell>
          <cell r="D70" t="str">
            <v>DLR</v>
          </cell>
          <cell r="E70" t="str">
            <v>Distribution Layflat/Rapid Fittings Kit</v>
          </cell>
          <cell r="F70" t="str">
            <v>S</v>
          </cell>
          <cell r="H70">
            <v>1220</v>
          </cell>
          <cell r="I70">
            <v>0</v>
          </cell>
          <cell r="J70">
            <v>199</v>
          </cell>
          <cell r="K70">
            <v>1.044225</v>
          </cell>
          <cell r="L70">
            <v>0</v>
          </cell>
          <cell r="M70">
            <v>0</v>
          </cell>
          <cell r="N70">
            <v>135</v>
          </cell>
          <cell r="O70">
            <v>91</v>
          </cell>
          <cell r="P70">
            <v>85</v>
          </cell>
        </row>
        <row r="71">
          <cell r="B71" t="str">
            <v>D</v>
          </cell>
          <cell r="C71">
            <v>48139</v>
          </cell>
          <cell r="D71" t="str">
            <v>DM1</v>
          </cell>
          <cell r="E71" t="str">
            <v>Lube for uPVC Pipe</v>
          </cell>
          <cell r="F71" t="str">
            <v>S</v>
          </cell>
          <cell r="H71">
            <v>2.9407999999999999</v>
          </cell>
          <cell r="I71">
            <v>0</v>
          </cell>
          <cell r="J71">
            <v>1</v>
          </cell>
          <cell r="K71">
            <v>2.4000000000000001E-5</v>
          </cell>
          <cell r="L71">
            <v>0</v>
          </cell>
          <cell r="M71">
            <v>0</v>
          </cell>
          <cell r="N71">
            <v>4</v>
          </cell>
          <cell r="O71">
            <v>3</v>
          </cell>
          <cell r="P71">
            <v>2</v>
          </cell>
        </row>
        <row r="72">
          <cell r="B72" t="str">
            <v>D</v>
          </cell>
          <cell r="C72">
            <v>48124</v>
          </cell>
          <cell r="D72" t="str">
            <v>DMP3</v>
          </cell>
          <cell r="E72" t="str">
            <v>90mm (OD) PE Distribution Main Kit, 500m in Coils</v>
          </cell>
          <cell r="F72" t="str">
            <v>N</v>
          </cell>
          <cell r="H72">
            <v>1600</v>
          </cell>
          <cell r="I72">
            <v>0</v>
          </cell>
          <cell r="J72">
            <v>1100</v>
          </cell>
          <cell r="K72">
            <v>11.875</v>
          </cell>
          <cell r="L72">
            <v>0</v>
          </cell>
          <cell r="M72">
            <v>0</v>
          </cell>
          <cell r="N72">
            <v>250</v>
          </cell>
          <cell r="O72">
            <v>250</v>
          </cell>
          <cell r="P72">
            <v>190</v>
          </cell>
        </row>
        <row r="73">
          <cell r="B73" t="str">
            <v>D</v>
          </cell>
          <cell r="C73">
            <v>48124</v>
          </cell>
          <cell r="D73" t="str">
            <v>DMU3</v>
          </cell>
          <cell r="E73" t="str">
            <v>90mm (OD) uPVC Distribution Main Kit 500M</v>
          </cell>
          <cell r="F73" t="str">
            <v>S</v>
          </cell>
          <cell r="H73">
            <v>685.44</v>
          </cell>
          <cell r="I73">
            <v>0</v>
          </cell>
          <cell r="J73">
            <v>668</v>
          </cell>
          <cell r="K73">
            <v>7.0857599999999996</v>
          </cell>
          <cell r="L73">
            <v>0</v>
          </cell>
          <cell r="M73">
            <v>0</v>
          </cell>
          <cell r="N73">
            <v>122</v>
          </cell>
          <cell r="O73">
            <v>440</v>
          </cell>
          <cell r="P73">
            <v>132</v>
          </cell>
        </row>
        <row r="74">
          <cell r="B74" t="str">
            <v>D</v>
          </cell>
          <cell r="C74">
            <v>48124</v>
          </cell>
          <cell r="D74" t="str">
            <v>DMU4</v>
          </cell>
          <cell r="E74" t="str">
            <v>110mm (OD) HEP3O Distribution Main Kit,500m</v>
          </cell>
          <cell r="F74" t="str">
            <v>N</v>
          </cell>
          <cell r="H74">
            <v>1643.04</v>
          </cell>
          <cell r="I74">
            <v>0</v>
          </cell>
          <cell r="J74">
            <v>861</v>
          </cell>
          <cell r="K74">
            <v>10.836</v>
          </cell>
          <cell r="L74">
            <v>0</v>
          </cell>
          <cell r="M74">
            <v>0</v>
          </cell>
          <cell r="N74">
            <v>120</v>
          </cell>
          <cell r="O74">
            <v>210</v>
          </cell>
          <cell r="P74">
            <v>430</v>
          </cell>
        </row>
        <row r="75">
          <cell r="B75" t="str">
            <v>D</v>
          </cell>
          <cell r="C75">
            <v>48124</v>
          </cell>
          <cell r="D75" t="str">
            <v>DMU6</v>
          </cell>
          <cell r="E75" t="str">
            <v>160mm (OD) HEP3O Distribution Main Kit, 500m</v>
          </cell>
          <cell r="F75" t="str">
            <v>N</v>
          </cell>
          <cell r="H75">
            <v>2935.8</v>
          </cell>
          <cell r="I75">
            <v>0</v>
          </cell>
          <cell r="J75">
            <v>557</v>
          </cell>
          <cell r="K75">
            <v>2.94</v>
          </cell>
          <cell r="L75">
            <v>0</v>
          </cell>
          <cell r="M75">
            <v>0</v>
          </cell>
          <cell r="N75">
            <v>100</v>
          </cell>
          <cell r="O75">
            <v>70</v>
          </cell>
          <cell r="P75">
            <v>420</v>
          </cell>
        </row>
        <row r="76">
          <cell r="B76" t="str">
            <v>D</v>
          </cell>
          <cell r="C76">
            <v>48120</v>
          </cell>
          <cell r="D76" t="str">
            <v>DP</v>
          </cell>
          <cell r="E76" t="str">
            <v>32mm (OD) PE Distribution Pipe, 50m</v>
          </cell>
          <cell r="F76" t="str">
            <v>S</v>
          </cell>
          <cell r="G76">
            <v>14</v>
          </cell>
          <cell r="H76">
            <v>14</v>
          </cell>
          <cell r="I76">
            <v>196</v>
          </cell>
          <cell r="J76">
            <v>14</v>
          </cell>
          <cell r="K76">
            <v>0.19</v>
          </cell>
          <cell r="L76">
            <v>196</v>
          </cell>
          <cell r="M76">
            <v>2.66</v>
          </cell>
          <cell r="N76">
            <v>100</v>
          </cell>
          <cell r="O76">
            <v>100</v>
          </cell>
          <cell r="P76">
            <v>19</v>
          </cell>
        </row>
        <row r="77">
          <cell r="B77" t="str">
            <v>D</v>
          </cell>
          <cell r="C77">
            <v>48120</v>
          </cell>
          <cell r="D77" t="str">
            <v>DPP2</v>
          </cell>
          <cell r="E77" t="str">
            <v>Complete Kit - 63mm distribution pipe &amp; coupler</v>
          </cell>
          <cell r="F77" t="str">
            <v>S</v>
          </cell>
          <cell r="H77">
            <v>59.49</v>
          </cell>
          <cell r="I77">
            <v>0</v>
          </cell>
          <cell r="J77">
            <v>53</v>
          </cell>
          <cell r="K77">
            <v>0.54910000000000003</v>
          </cell>
          <cell r="L77">
            <v>0</v>
          </cell>
          <cell r="M77">
            <v>0</v>
          </cell>
          <cell r="N77">
            <v>170</v>
          </cell>
          <cell r="O77">
            <v>19</v>
          </cell>
          <cell r="P77">
            <v>170</v>
          </cell>
        </row>
        <row r="78">
          <cell r="B78" t="str">
            <v>D</v>
          </cell>
          <cell r="C78">
            <v>48121</v>
          </cell>
          <cell r="D78" t="str">
            <v>DS</v>
          </cell>
          <cell r="E78" t="str">
            <v>Distribution Tapstand (1" Galvinised Pipe)</v>
          </cell>
          <cell r="F78" t="str">
            <v>S</v>
          </cell>
          <cell r="G78">
            <v>13</v>
          </cell>
          <cell r="H78">
            <v>181.35</v>
          </cell>
          <cell r="I78">
            <v>2357.5499999999997</v>
          </cell>
          <cell r="J78">
            <v>30</v>
          </cell>
          <cell r="K78">
            <v>4.1106999999999998E-2</v>
          </cell>
          <cell r="L78">
            <v>390</v>
          </cell>
          <cell r="M78">
            <v>0.53439099999999995</v>
          </cell>
          <cell r="N78">
            <v>11</v>
          </cell>
          <cell r="O78">
            <v>101</v>
          </cell>
          <cell r="P78">
            <v>37</v>
          </cell>
        </row>
        <row r="79">
          <cell r="B79" t="str">
            <v>D</v>
          </cell>
          <cell r="C79">
            <v>48121</v>
          </cell>
          <cell r="D79" t="str">
            <v>DSC</v>
          </cell>
          <cell r="E79" t="str">
            <v>Distribution Tapstand - Conversion Kit</v>
          </cell>
          <cell r="F79" t="str">
            <v>S</v>
          </cell>
          <cell r="H79">
            <v>19.54</v>
          </cell>
          <cell r="I79">
            <v>0</v>
          </cell>
          <cell r="J79">
            <v>6</v>
          </cell>
          <cell r="K79">
            <v>1.35E-2</v>
          </cell>
          <cell r="L79">
            <v>0</v>
          </cell>
          <cell r="N79">
            <v>15</v>
          </cell>
          <cell r="O79">
            <v>30</v>
          </cell>
          <cell r="P79">
            <v>30</v>
          </cell>
        </row>
        <row r="80">
          <cell r="B80" t="str">
            <v>D</v>
          </cell>
          <cell r="C80">
            <v>48122</v>
          </cell>
          <cell r="D80" t="str">
            <v>DV</v>
          </cell>
          <cell r="E80" t="str">
            <v>Water Tap 3/4" Talflo Valve</v>
          </cell>
          <cell r="F80" t="str">
            <v>S</v>
          </cell>
          <cell r="H80">
            <v>8.0500000000000007</v>
          </cell>
          <cell r="I80">
            <v>0</v>
          </cell>
          <cell r="J80">
            <v>1</v>
          </cell>
          <cell r="K80">
            <v>1.0000000000000001E-5</v>
          </cell>
          <cell r="L80">
            <v>0</v>
          </cell>
          <cell r="M80">
            <v>0</v>
          </cell>
          <cell r="N80">
            <v>10</v>
          </cell>
          <cell r="O80">
            <v>1</v>
          </cell>
          <cell r="P80">
            <v>1</v>
          </cell>
        </row>
        <row r="81">
          <cell r="B81" t="str">
            <v>F</v>
          </cell>
          <cell r="C81">
            <v>48144</v>
          </cell>
          <cell r="D81" t="str">
            <v>FAS</v>
          </cell>
          <cell r="E81" t="str">
            <v>Aluminium Sulphate (500kg)</v>
          </cell>
          <cell r="F81" t="str">
            <v>S</v>
          </cell>
          <cell r="H81">
            <v>92.5</v>
          </cell>
          <cell r="I81">
            <v>0</v>
          </cell>
          <cell r="J81">
            <v>525</v>
          </cell>
          <cell r="K81">
            <v>0.87717599999999996</v>
          </cell>
          <cell r="L81">
            <v>0</v>
          </cell>
          <cell r="M81">
            <v>0</v>
          </cell>
          <cell r="N81">
            <v>131</v>
          </cell>
          <cell r="O81">
            <v>108</v>
          </cell>
          <cell r="P81">
            <v>62</v>
          </cell>
        </row>
        <row r="82">
          <cell r="B82" t="str">
            <v>F</v>
          </cell>
          <cell r="C82">
            <v>48143</v>
          </cell>
          <cell r="D82" t="str">
            <v>FASD</v>
          </cell>
          <cell r="E82" t="str">
            <v>Alum Suction Side Dosing Kit</v>
          </cell>
          <cell r="F82" t="str">
            <v>S</v>
          </cell>
          <cell r="H82">
            <v>529.88</v>
          </cell>
          <cell r="I82">
            <v>0</v>
          </cell>
          <cell r="J82">
            <v>84</v>
          </cell>
          <cell r="K82">
            <v>0.51893999999999996</v>
          </cell>
          <cell r="L82">
            <v>0</v>
          </cell>
          <cell r="M82">
            <v>0</v>
          </cell>
          <cell r="N82">
            <v>62</v>
          </cell>
          <cell r="O82">
            <v>62</v>
          </cell>
          <cell r="P82">
            <v>135</v>
          </cell>
        </row>
        <row r="83">
          <cell r="B83" t="str">
            <v>F</v>
          </cell>
          <cell r="C83">
            <v>48144</v>
          </cell>
          <cell r="D83" t="str">
            <v>FBR</v>
          </cell>
          <cell r="E83" t="str">
            <v>M-FC Broth for Delagua Water Testing Kit*</v>
          </cell>
          <cell r="F83" t="str">
            <v>S</v>
          </cell>
          <cell r="H83">
            <v>1.02</v>
          </cell>
          <cell r="I83">
            <v>0</v>
          </cell>
          <cell r="J83">
            <v>0.2</v>
          </cell>
          <cell r="K83">
            <v>1E-3</v>
          </cell>
          <cell r="L83">
            <v>0</v>
          </cell>
          <cell r="M83">
            <v>0</v>
          </cell>
          <cell r="N83">
            <v>10</v>
          </cell>
          <cell r="O83">
            <v>10</v>
          </cell>
          <cell r="P83">
            <v>10</v>
          </cell>
        </row>
        <row r="84">
          <cell r="B84" t="str">
            <v>F</v>
          </cell>
          <cell r="C84">
            <v>48143</v>
          </cell>
          <cell r="D84" t="str">
            <v>FCCD</v>
          </cell>
          <cell r="E84" t="str">
            <v>Chlorine Constant Rate Dosing Kit</v>
          </cell>
          <cell r="F84" t="str">
            <v>S</v>
          </cell>
          <cell r="H84">
            <v>318</v>
          </cell>
          <cell r="I84">
            <v>0</v>
          </cell>
          <cell r="J84">
            <v>35</v>
          </cell>
          <cell r="K84">
            <v>0.33600000000000002</v>
          </cell>
          <cell r="L84">
            <v>0</v>
          </cell>
          <cell r="M84">
            <v>0</v>
          </cell>
          <cell r="N84">
            <v>100</v>
          </cell>
          <cell r="O84">
            <v>56</v>
          </cell>
          <cell r="P84">
            <v>60</v>
          </cell>
        </row>
        <row r="85">
          <cell r="B85" t="str">
            <v>F</v>
          </cell>
          <cell r="C85">
            <v>48144</v>
          </cell>
          <cell r="D85" t="str">
            <v>FCH</v>
          </cell>
          <cell r="E85" t="str">
            <v>HTH Chlorine Powder</v>
          </cell>
          <cell r="F85" t="str">
            <v>N</v>
          </cell>
          <cell r="H85">
            <v>13.9</v>
          </cell>
          <cell r="I85">
            <v>0</v>
          </cell>
          <cell r="J85">
            <v>11</v>
          </cell>
          <cell r="K85">
            <v>1.7999999999999999E-2</v>
          </cell>
          <cell r="L85">
            <v>0</v>
          </cell>
          <cell r="M85">
            <v>0</v>
          </cell>
          <cell r="N85">
            <v>30</v>
          </cell>
          <cell r="O85">
            <v>20</v>
          </cell>
          <cell r="P85">
            <v>30</v>
          </cell>
        </row>
        <row r="86">
          <cell r="B86" t="str">
            <v>F</v>
          </cell>
          <cell r="C86">
            <v>48144</v>
          </cell>
          <cell r="D86" t="str">
            <v>FCT</v>
          </cell>
          <cell r="E86" t="str">
            <v>Chlorine Tablets (Trichloroisocyanuric Acid)</v>
          </cell>
          <cell r="F86" t="str">
            <v>S</v>
          </cell>
          <cell r="H86">
            <v>19</v>
          </cell>
          <cell r="I86">
            <v>0</v>
          </cell>
          <cell r="J86">
            <v>12</v>
          </cell>
          <cell r="K86">
            <v>1.9375E-2</v>
          </cell>
          <cell r="L86">
            <v>0</v>
          </cell>
          <cell r="M86">
            <v>0</v>
          </cell>
          <cell r="N86">
            <v>25</v>
          </cell>
          <cell r="O86">
            <v>31</v>
          </cell>
          <cell r="P86">
            <v>25</v>
          </cell>
        </row>
        <row r="87">
          <cell r="B87" t="str">
            <v>F</v>
          </cell>
          <cell r="C87">
            <v>48144</v>
          </cell>
          <cell r="D87" t="str">
            <v>FD1</v>
          </cell>
          <cell r="E87" t="str">
            <v>DPD1 Water Testing Tablets*</v>
          </cell>
          <cell r="F87" t="str">
            <v>S</v>
          </cell>
          <cell r="H87">
            <v>9.4</v>
          </cell>
          <cell r="I87">
            <v>0</v>
          </cell>
          <cell r="J87">
            <v>0.1</v>
          </cell>
          <cell r="K87">
            <v>5.2800000000000004E-4</v>
          </cell>
          <cell r="L87">
            <v>0</v>
          </cell>
          <cell r="M87">
            <v>0</v>
          </cell>
          <cell r="N87">
            <v>11</v>
          </cell>
          <cell r="O87">
            <v>8</v>
          </cell>
          <cell r="P87">
            <v>6</v>
          </cell>
        </row>
        <row r="88">
          <cell r="B88" t="str">
            <v>F</v>
          </cell>
          <cell r="C88">
            <v>48144</v>
          </cell>
          <cell r="D88" t="str">
            <v>FD3</v>
          </cell>
          <cell r="E88" t="str">
            <v>DPD3 Water Testing Tablets*</v>
          </cell>
          <cell r="F88" t="str">
            <v>S</v>
          </cell>
          <cell r="H88">
            <v>10</v>
          </cell>
          <cell r="I88">
            <v>0</v>
          </cell>
          <cell r="J88">
            <v>0.1</v>
          </cell>
          <cell r="K88">
            <v>5.2800000000000004E-4</v>
          </cell>
          <cell r="L88">
            <v>0</v>
          </cell>
          <cell r="N88">
            <v>11</v>
          </cell>
          <cell r="O88">
            <v>8</v>
          </cell>
          <cell r="P88">
            <v>6</v>
          </cell>
        </row>
        <row r="89">
          <cell r="B89" t="str">
            <v>F</v>
          </cell>
          <cell r="C89">
            <v>48143</v>
          </cell>
          <cell r="D89" t="str">
            <v>FDO</v>
          </cell>
          <cell r="E89" t="str">
            <v>Chlorine/Aluminium Sulphate Dosing Pump</v>
          </cell>
          <cell r="F89" t="str">
            <v>N</v>
          </cell>
          <cell r="H89">
            <v>2736.8</v>
          </cell>
          <cell r="I89">
            <v>0</v>
          </cell>
          <cell r="J89">
            <v>75</v>
          </cell>
          <cell r="K89">
            <v>0.75</v>
          </cell>
          <cell r="L89">
            <v>0</v>
          </cell>
          <cell r="M89">
            <v>0</v>
          </cell>
          <cell r="N89">
            <v>100</v>
          </cell>
          <cell r="O89">
            <v>50</v>
          </cell>
          <cell r="P89">
            <v>150</v>
          </cell>
        </row>
        <row r="90">
          <cell r="B90" t="str">
            <v>F</v>
          </cell>
          <cell r="C90">
            <v>48146</v>
          </cell>
          <cell r="D90" t="str">
            <v>FDS</v>
          </cell>
          <cell r="E90" t="str">
            <v>TDS Conductivity Meter*</v>
          </cell>
          <cell r="F90" t="str">
            <v>S</v>
          </cell>
          <cell r="H90">
            <v>48.03</v>
          </cell>
          <cell r="I90">
            <v>0</v>
          </cell>
          <cell r="J90">
            <v>0.3</v>
          </cell>
          <cell r="K90">
            <v>5.7600000000000001E-4</v>
          </cell>
          <cell r="L90">
            <v>0</v>
          </cell>
          <cell r="M90">
            <v>0</v>
          </cell>
          <cell r="N90">
            <v>16</v>
          </cell>
          <cell r="O90">
            <v>9</v>
          </cell>
          <cell r="P90">
            <v>4</v>
          </cell>
        </row>
        <row r="91">
          <cell r="B91" t="str">
            <v>F</v>
          </cell>
          <cell r="C91">
            <v>48144</v>
          </cell>
          <cell r="D91" t="str">
            <v>FEG</v>
          </cell>
          <cell r="E91" t="str">
            <v>Electrolytic Sodium Hypochlorite Generator</v>
          </cell>
          <cell r="F91" t="str">
            <v>N</v>
          </cell>
          <cell r="H91">
            <v>3800.35</v>
          </cell>
          <cell r="I91">
            <v>0</v>
          </cell>
          <cell r="J91">
            <v>93</v>
          </cell>
          <cell r="K91">
            <v>0.52200000000000002</v>
          </cell>
          <cell r="L91">
            <v>0</v>
          </cell>
          <cell r="M91">
            <v>0</v>
          </cell>
          <cell r="N91">
            <v>60</v>
          </cell>
          <cell r="O91">
            <v>145</v>
          </cell>
          <cell r="P91">
            <v>60</v>
          </cell>
        </row>
        <row r="92">
          <cell r="B92" t="str">
            <v>F</v>
          </cell>
          <cell r="C92">
            <v>48140</v>
          </cell>
          <cell r="D92" t="str">
            <v>FF</v>
          </cell>
          <cell r="E92" t="str">
            <v>Slow Sand Filtration Kit</v>
          </cell>
          <cell r="F92" t="str">
            <v>S</v>
          </cell>
          <cell r="H92">
            <v>4368.25</v>
          </cell>
          <cell r="I92">
            <v>0</v>
          </cell>
          <cell r="J92">
            <v>389</v>
          </cell>
          <cell r="K92">
            <v>3.0479400000000001</v>
          </cell>
          <cell r="L92">
            <v>0</v>
          </cell>
          <cell r="M92">
            <v>0</v>
          </cell>
          <cell r="N92">
            <v>236</v>
          </cell>
          <cell r="O92">
            <v>123</v>
          </cell>
          <cell r="P92">
            <v>105</v>
          </cell>
        </row>
        <row r="93">
          <cell r="B93" t="str">
            <v>F</v>
          </cell>
          <cell r="C93">
            <v>48146</v>
          </cell>
          <cell r="D93" t="str">
            <v>FFP</v>
          </cell>
          <cell r="E93" t="str">
            <v>Floating Pot Chlorinator Kit</v>
          </cell>
          <cell r="F93" t="str">
            <v>S</v>
          </cell>
          <cell r="H93">
            <v>48.04</v>
          </cell>
          <cell r="I93">
            <v>0</v>
          </cell>
          <cell r="J93">
            <v>2</v>
          </cell>
          <cell r="K93">
            <v>3.7440000000000001E-2</v>
          </cell>
          <cell r="L93">
            <v>0</v>
          </cell>
          <cell r="M93">
            <v>0</v>
          </cell>
          <cell r="N93">
            <v>40</v>
          </cell>
          <cell r="O93">
            <v>26</v>
          </cell>
          <cell r="P93">
            <v>36</v>
          </cell>
        </row>
        <row r="94">
          <cell r="B94" t="str">
            <v>F</v>
          </cell>
          <cell r="C94">
            <v>48144</v>
          </cell>
          <cell r="D94" t="str">
            <v>FGP</v>
          </cell>
          <cell r="E94" t="str">
            <v>Gelman Absorbent Pads*</v>
          </cell>
          <cell r="F94" t="str">
            <v>S</v>
          </cell>
          <cell r="H94">
            <v>20</v>
          </cell>
          <cell r="I94">
            <v>0</v>
          </cell>
          <cell r="J94">
            <v>0.1</v>
          </cell>
          <cell r="K94">
            <v>6.9300000000000004E-4</v>
          </cell>
          <cell r="L94">
            <v>0</v>
          </cell>
          <cell r="M94">
            <v>0</v>
          </cell>
          <cell r="N94">
            <v>11</v>
          </cell>
          <cell r="O94">
            <v>9</v>
          </cell>
          <cell r="P94">
            <v>7</v>
          </cell>
        </row>
        <row r="95">
          <cell r="B95" t="str">
            <v>F</v>
          </cell>
          <cell r="C95">
            <v>48144</v>
          </cell>
          <cell r="D95" t="str">
            <v>FHF</v>
          </cell>
          <cell r="E95" t="str">
            <v>Ceramic Candle Household Filters</v>
          </cell>
          <cell r="F95" t="str">
            <v>S</v>
          </cell>
          <cell r="H95">
            <v>1200</v>
          </cell>
          <cell r="I95">
            <v>0</v>
          </cell>
          <cell r="J95">
            <v>212</v>
          </cell>
          <cell r="K95">
            <v>1.8</v>
          </cell>
          <cell r="L95">
            <v>0</v>
          </cell>
          <cell r="N95">
            <v>120</v>
          </cell>
          <cell r="O95">
            <v>100</v>
          </cell>
          <cell r="P95">
            <v>150</v>
          </cell>
        </row>
        <row r="96">
          <cell r="B96" t="str">
            <v>F</v>
          </cell>
          <cell r="C96">
            <v>48141</v>
          </cell>
          <cell r="D96" t="str">
            <v>FK</v>
          </cell>
          <cell r="E96" t="str">
            <v>Delagua Water Testing Kit - 240v</v>
          </cell>
          <cell r="F96" t="str">
            <v>S</v>
          </cell>
          <cell r="G96">
            <v>2</v>
          </cell>
          <cell r="H96">
            <v>1086.8</v>
          </cell>
          <cell r="I96">
            <v>2173.6</v>
          </cell>
          <cell r="J96">
            <v>15</v>
          </cell>
          <cell r="K96">
            <v>7.9523999999999997E-2</v>
          </cell>
          <cell r="L96">
            <v>30</v>
          </cell>
          <cell r="M96">
            <v>0.15904799999999999</v>
          </cell>
          <cell r="N96">
            <v>47</v>
          </cell>
          <cell r="O96">
            <v>47</v>
          </cell>
          <cell r="P96">
            <v>36</v>
          </cell>
        </row>
        <row r="97">
          <cell r="B97" t="str">
            <v>F</v>
          </cell>
          <cell r="C97">
            <v>48141</v>
          </cell>
          <cell r="D97" t="str">
            <v>FK10</v>
          </cell>
          <cell r="E97" t="str">
            <v>Delagua Water Testing Kit 110v</v>
          </cell>
          <cell r="F97" t="str">
            <v>S</v>
          </cell>
          <cell r="H97">
            <v>1086.17</v>
          </cell>
          <cell r="I97">
            <v>0</v>
          </cell>
          <cell r="J97">
            <v>15</v>
          </cell>
          <cell r="K97">
            <v>0.108241</v>
          </cell>
          <cell r="L97">
            <v>0</v>
          </cell>
          <cell r="M97">
            <v>0</v>
          </cell>
          <cell r="N97">
            <v>47</v>
          </cell>
          <cell r="O97">
            <v>47</v>
          </cell>
          <cell r="P97">
            <v>49</v>
          </cell>
        </row>
        <row r="98">
          <cell r="B98" t="str">
            <v>F</v>
          </cell>
          <cell r="C98">
            <v>48144</v>
          </cell>
          <cell r="D98" t="str">
            <v>FKC</v>
          </cell>
          <cell r="E98" t="str">
            <v>Consumables For Delagua Water Testing Kit*</v>
          </cell>
          <cell r="F98" t="str">
            <v>S</v>
          </cell>
          <cell r="G98">
            <v>2</v>
          </cell>
          <cell r="H98">
            <v>64.3</v>
          </cell>
          <cell r="I98">
            <v>128.6</v>
          </cell>
          <cell r="J98">
            <v>2</v>
          </cell>
          <cell r="K98">
            <v>2.2799999999999999E-3</v>
          </cell>
          <cell r="L98">
            <v>4</v>
          </cell>
          <cell r="M98">
            <v>4.5599999999999998E-3</v>
          </cell>
          <cell r="N98">
            <v>19</v>
          </cell>
          <cell r="O98">
            <v>5</v>
          </cell>
          <cell r="P98">
            <v>24</v>
          </cell>
        </row>
        <row r="99">
          <cell r="B99" t="str">
            <v>F</v>
          </cell>
          <cell r="C99">
            <v>48144</v>
          </cell>
          <cell r="D99" t="str">
            <v>FMF</v>
          </cell>
          <cell r="E99" t="str">
            <v>Microfiltration Membrane for Protazoa Removal</v>
          </cell>
          <cell r="F99" t="str">
            <v>N</v>
          </cell>
          <cell r="I99">
            <v>0</v>
          </cell>
          <cell r="K99">
            <v>0</v>
          </cell>
          <cell r="L99">
            <v>0</v>
          </cell>
          <cell r="M99">
            <v>0</v>
          </cell>
        </row>
        <row r="100">
          <cell r="B100" t="str">
            <v>F</v>
          </cell>
          <cell r="C100">
            <v>48146</v>
          </cell>
          <cell r="D100" t="str">
            <v>FMT</v>
          </cell>
          <cell r="E100" t="str">
            <v>Measuring &amp; Testing Kit</v>
          </cell>
          <cell r="F100" t="str">
            <v>S</v>
          </cell>
          <cell r="H100">
            <v>439.81</v>
          </cell>
          <cell r="I100">
            <v>0</v>
          </cell>
          <cell r="J100">
            <v>17</v>
          </cell>
          <cell r="K100">
            <v>0.113568</v>
          </cell>
          <cell r="L100">
            <v>0</v>
          </cell>
          <cell r="M100">
            <v>0</v>
          </cell>
          <cell r="N100">
            <v>56</v>
          </cell>
          <cell r="O100">
            <v>39</v>
          </cell>
          <cell r="P100">
            <v>52</v>
          </cell>
        </row>
        <row r="101">
          <cell r="B101" t="str">
            <v>F</v>
          </cell>
          <cell r="C101">
            <v>48145</v>
          </cell>
          <cell r="D101" t="str">
            <v>FPO</v>
          </cell>
          <cell r="E101" t="str">
            <v>Pooltester for Chlorine/pH Testing*</v>
          </cell>
          <cell r="F101" t="str">
            <v>S</v>
          </cell>
          <cell r="H101">
            <v>9.9</v>
          </cell>
          <cell r="I101">
            <v>0</v>
          </cell>
          <cell r="J101">
            <v>0.3</v>
          </cell>
          <cell r="K101">
            <v>5.0000000000000001E-4</v>
          </cell>
          <cell r="L101">
            <v>0</v>
          </cell>
          <cell r="M101">
            <v>0</v>
          </cell>
          <cell r="N101">
            <v>10</v>
          </cell>
          <cell r="O101">
            <v>5</v>
          </cell>
          <cell r="P101">
            <v>10</v>
          </cell>
        </row>
        <row r="102">
          <cell r="B102" t="str">
            <v>F</v>
          </cell>
          <cell r="C102">
            <v>48144</v>
          </cell>
          <cell r="D102" t="str">
            <v>FPR</v>
          </cell>
          <cell r="E102" t="str">
            <v>Phenol Red Tablets*</v>
          </cell>
          <cell r="F102" t="str">
            <v>S</v>
          </cell>
          <cell r="H102">
            <v>10</v>
          </cell>
          <cell r="I102">
            <v>0</v>
          </cell>
          <cell r="J102">
            <v>0.1</v>
          </cell>
          <cell r="K102">
            <v>5.2800000000000004E-4</v>
          </cell>
          <cell r="L102">
            <v>0</v>
          </cell>
          <cell r="M102">
            <v>0</v>
          </cell>
          <cell r="N102">
            <v>11</v>
          </cell>
          <cell r="O102">
            <v>8</v>
          </cell>
          <cell r="P102">
            <v>6</v>
          </cell>
        </row>
        <row r="103">
          <cell r="B103" t="str">
            <v>F</v>
          </cell>
          <cell r="C103">
            <v>48144</v>
          </cell>
          <cell r="D103" t="str">
            <v>FPU</v>
          </cell>
          <cell r="E103" t="str">
            <v>14/20 Litre Water Disinfection Tablets</v>
          </cell>
          <cell r="F103" t="str">
            <v>S</v>
          </cell>
          <cell r="H103">
            <v>397.8</v>
          </cell>
          <cell r="I103">
            <v>0</v>
          </cell>
          <cell r="J103">
            <v>16</v>
          </cell>
          <cell r="K103">
            <v>0.10816000000000001</v>
          </cell>
          <cell r="L103">
            <v>0</v>
          </cell>
          <cell r="M103">
            <v>0</v>
          </cell>
          <cell r="N103">
            <v>40</v>
          </cell>
          <cell r="O103">
            <v>52</v>
          </cell>
          <cell r="P103">
            <v>52</v>
          </cell>
        </row>
        <row r="104">
          <cell r="B104" t="str">
            <v>F</v>
          </cell>
          <cell r="C104">
            <v>48144</v>
          </cell>
          <cell r="D104" t="str">
            <v>FRF</v>
          </cell>
          <cell r="E104" t="str">
            <v>Roughing Filter for T11 Tank</v>
          </cell>
          <cell r="F104" t="str">
            <v>S</v>
          </cell>
          <cell r="H104">
            <v>1713</v>
          </cell>
          <cell r="I104">
            <v>0</v>
          </cell>
          <cell r="J104">
            <v>258</v>
          </cell>
          <cell r="K104">
            <v>1.3280400000000001</v>
          </cell>
          <cell r="L104">
            <v>0</v>
          </cell>
          <cell r="M104">
            <v>0</v>
          </cell>
          <cell r="N104">
            <v>140</v>
          </cell>
          <cell r="O104">
            <v>93</v>
          </cell>
          <cell r="P104">
            <v>102</v>
          </cell>
        </row>
        <row r="105">
          <cell r="B105" t="str">
            <v>F</v>
          </cell>
          <cell r="C105">
            <v>48144</v>
          </cell>
          <cell r="D105" t="str">
            <v>FSB</v>
          </cell>
          <cell r="E105" t="str">
            <v>Lauryl Sulphate Broth*</v>
          </cell>
          <cell r="F105" t="str">
            <v>S</v>
          </cell>
          <cell r="H105">
            <v>4.5</v>
          </cell>
          <cell r="I105">
            <v>0</v>
          </cell>
          <cell r="J105">
            <v>0.1</v>
          </cell>
          <cell r="K105">
            <v>4.4099999999999999E-4</v>
          </cell>
          <cell r="L105">
            <v>0</v>
          </cell>
          <cell r="M105">
            <v>0</v>
          </cell>
          <cell r="N105">
            <v>9</v>
          </cell>
          <cell r="O105">
            <v>7</v>
          </cell>
          <cell r="P105">
            <v>7</v>
          </cell>
        </row>
        <row r="106">
          <cell r="B106" t="str">
            <v>F</v>
          </cell>
          <cell r="C106">
            <v>48144</v>
          </cell>
          <cell r="D106" t="str">
            <v>FTT</v>
          </cell>
          <cell r="E106" t="str">
            <v>Turbidity Tube*</v>
          </cell>
          <cell r="F106" t="str">
            <v>S</v>
          </cell>
          <cell r="H106">
            <v>37.31</v>
          </cell>
          <cell r="I106">
            <v>0</v>
          </cell>
          <cell r="J106">
            <v>0.5</v>
          </cell>
          <cell r="K106">
            <v>6.2500000000000001E-4</v>
          </cell>
          <cell r="L106">
            <v>0</v>
          </cell>
          <cell r="M106">
            <v>0</v>
          </cell>
          <cell r="N106">
            <v>5</v>
          </cell>
          <cell r="O106">
            <v>5</v>
          </cell>
          <cell r="P106">
            <v>25</v>
          </cell>
        </row>
        <row r="107">
          <cell r="B107" t="str">
            <v>F</v>
          </cell>
          <cell r="C107">
            <v>48142</v>
          </cell>
          <cell r="D107" t="str">
            <v>FUC</v>
          </cell>
          <cell r="E107" t="str">
            <v>Complete Upflow Clarifier (To Fit T11 Tank)</v>
          </cell>
          <cell r="F107" t="str">
            <v>S</v>
          </cell>
          <cell r="H107">
            <v>3127.67</v>
          </cell>
          <cell r="I107">
            <v>0</v>
          </cell>
          <cell r="J107">
            <v>415</v>
          </cell>
          <cell r="K107">
            <v>1.8838699999999999</v>
          </cell>
          <cell r="L107">
            <v>0</v>
          </cell>
          <cell r="M107">
            <v>0</v>
          </cell>
          <cell r="N107">
            <v>155</v>
          </cell>
          <cell r="O107">
            <v>118</v>
          </cell>
          <cell r="P107">
            <v>103</v>
          </cell>
        </row>
        <row r="108">
          <cell r="B108" t="str">
            <v>F</v>
          </cell>
          <cell r="C108">
            <v>48144</v>
          </cell>
          <cell r="D108" t="str">
            <v>FX</v>
          </cell>
          <cell r="E108" t="str">
            <v>Fibertex F-4m Filter Fabric</v>
          </cell>
          <cell r="F108" t="str">
            <v>S</v>
          </cell>
          <cell r="H108">
            <v>246.33</v>
          </cell>
          <cell r="I108">
            <v>0</v>
          </cell>
          <cell r="J108">
            <v>114</v>
          </cell>
          <cell r="K108">
            <v>1.224</v>
          </cell>
          <cell r="L108">
            <v>0</v>
          </cell>
          <cell r="M108">
            <v>0</v>
          </cell>
          <cell r="N108">
            <v>120</v>
          </cell>
          <cell r="O108">
            <v>120</v>
          </cell>
          <cell r="P108">
            <v>85</v>
          </cell>
        </row>
        <row r="109">
          <cell r="B109" t="str">
            <v>G</v>
          </cell>
          <cell r="C109">
            <v>48139</v>
          </cell>
          <cell r="D109" t="str">
            <v>G0.1</v>
          </cell>
          <cell r="E109" t="str">
            <v>12m Roll PTFE Tape (12mm Wide)</v>
          </cell>
          <cell r="F109" t="str">
            <v>S</v>
          </cell>
          <cell r="G109">
            <v>12</v>
          </cell>
          <cell r="H109">
            <v>0.17519999999999999</v>
          </cell>
          <cell r="I109">
            <v>2.1023999999999998</v>
          </cell>
          <cell r="J109">
            <v>0</v>
          </cell>
          <cell r="K109">
            <v>0</v>
          </cell>
          <cell r="L109">
            <v>0</v>
          </cell>
          <cell r="M109">
            <v>0</v>
          </cell>
          <cell r="N109">
            <v>0</v>
          </cell>
          <cell r="O109">
            <v>0</v>
          </cell>
          <cell r="P109">
            <v>0</v>
          </cell>
        </row>
        <row r="110">
          <cell r="B110" t="str">
            <v>G</v>
          </cell>
          <cell r="C110">
            <v>48122</v>
          </cell>
          <cell r="D110" t="str">
            <v>G1.1</v>
          </cell>
          <cell r="E110" t="str">
            <v>32mm Compression Coupler uPVC</v>
          </cell>
          <cell r="F110" t="str">
            <v>S</v>
          </cell>
          <cell r="G110">
            <v>12</v>
          </cell>
          <cell r="H110">
            <v>1.3008999999999999</v>
          </cell>
          <cell r="I110">
            <v>15.610799999999999</v>
          </cell>
          <cell r="J110">
            <v>0</v>
          </cell>
          <cell r="K110">
            <v>1.2E-5</v>
          </cell>
          <cell r="L110">
            <v>0</v>
          </cell>
          <cell r="M110">
            <v>1.44E-4</v>
          </cell>
          <cell r="N110">
            <v>4</v>
          </cell>
          <cell r="O110">
            <v>3</v>
          </cell>
          <cell r="P110">
            <v>1</v>
          </cell>
        </row>
        <row r="111">
          <cell r="B111" t="str">
            <v>G</v>
          </cell>
          <cell r="C111">
            <v>48122</v>
          </cell>
          <cell r="D111" t="str">
            <v>G1.3</v>
          </cell>
          <cell r="E111" t="str">
            <v>32mm Compression Tee uPVC</v>
          </cell>
          <cell r="F111" t="str">
            <v>S</v>
          </cell>
          <cell r="G111">
            <v>12</v>
          </cell>
          <cell r="H111">
            <v>3.5002</v>
          </cell>
          <cell r="I111">
            <v>42.002400000000002</v>
          </cell>
          <cell r="J111">
            <v>0</v>
          </cell>
          <cell r="K111">
            <v>4.8000000000000001E-5</v>
          </cell>
          <cell r="L111">
            <v>0</v>
          </cell>
          <cell r="M111">
            <v>5.7600000000000001E-4</v>
          </cell>
          <cell r="N111">
            <v>6</v>
          </cell>
          <cell r="O111">
            <v>4</v>
          </cell>
          <cell r="P111">
            <v>2</v>
          </cell>
        </row>
        <row r="112">
          <cell r="B112" t="str">
            <v>G</v>
          </cell>
          <cell r="C112">
            <v>48122</v>
          </cell>
          <cell r="D112" t="str">
            <v>G1.6</v>
          </cell>
          <cell r="E112" t="str">
            <v>32mm Compression to 1" BSP (M) Coupler</v>
          </cell>
          <cell r="F112" t="str">
            <v>S</v>
          </cell>
          <cell r="G112">
            <v>12</v>
          </cell>
          <cell r="H112">
            <v>1.5783</v>
          </cell>
          <cell r="I112">
            <v>18.939599999999999</v>
          </cell>
          <cell r="J112">
            <v>0.1</v>
          </cell>
          <cell r="K112">
            <v>3.9999999999999998E-6</v>
          </cell>
          <cell r="L112">
            <v>1.2000000000000002</v>
          </cell>
          <cell r="M112">
            <v>4.8000000000000001E-5</v>
          </cell>
          <cell r="N112">
            <v>4</v>
          </cell>
          <cell r="O112">
            <v>1</v>
          </cell>
          <cell r="P112">
            <v>1</v>
          </cell>
        </row>
        <row r="113">
          <cell r="B113" t="str">
            <v>G</v>
          </cell>
          <cell r="C113">
            <v>48122</v>
          </cell>
          <cell r="D113" t="str">
            <v>G2.1</v>
          </cell>
          <cell r="E113" t="str">
            <v>2" Hose Coupler (F) c/w Washer 60mm OD Hose MI</v>
          </cell>
          <cell r="F113" t="str">
            <v>S</v>
          </cell>
          <cell r="H113">
            <v>5.8392999999999997</v>
          </cell>
          <cell r="I113">
            <v>0</v>
          </cell>
          <cell r="J113">
            <v>1</v>
          </cell>
          <cell r="K113">
            <v>6.0000000000000002E-6</v>
          </cell>
          <cell r="L113">
            <v>0</v>
          </cell>
          <cell r="M113">
            <v>0</v>
          </cell>
          <cell r="N113">
            <v>3</v>
          </cell>
          <cell r="O113">
            <v>2</v>
          </cell>
          <cell r="P113">
            <v>1</v>
          </cell>
        </row>
        <row r="114">
          <cell r="B114" t="str">
            <v>G</v>
          </cell>
          <cell r="C114">
            <v>48122</v>
          </cell>
          <cell r="D114" t="str">
            <v>G2.11</v>
          </cell>
          <cell r="E114" t="str">
            <v>2" Floating Valve with Tank Reinforcement</v>
          </cell>
          <cell r="F114" t="str">
            <v>S</v>
          </cell>
          <cell r="H114">
            <v>170</v>
          </cell>
          <cell r="I114">
            <v>0</v>
          </cell>
          <cell r="J114">
            <v>10</v>
          </cell>
          <cell r="K114">
            <v>7.9826999999999995E-2</v>
          </cell>
          <cell r="L114">
            <v>0</v>
          </cell>
          <cell r="M114">
            <v>0</v>
          </cell>
          <cell r="N114">
            <v>59</v>
          </cell>
          <cell r="O114">
            <v>41</v>
          </cell>
          <cell r="P114">
            <v>33</v>
          </cell>
        </row>
        <row r="115">
          <cell r="B115" t="str">
            <v>G</v>
          </cell>
          <cell r="C115">
            <v>48122</v>
          </cell>
          <cell r="D115" t="str">
            <v>G2.12</v>
          </cell>
          <cell r="E115" t="str">
            <v>2" Bolted Hose Clip - 60mm OD Hose</v>
          </cell>
          <cell r="F115" t="str">
            <v>S</v>
          </cell>
          <cell r="H115">
            <v>1.1855</v>
          </cell>
          <cell r="I115">
            <v>0</v>
          </cell>
          <cell r="J115">
            <v>0</v>
          </cell>
          <cell r="K115">
            <v>0</v>
          </cell>
          <cell r="L115">
            <v>0</v>
          </cell>
          <cell r="M115">
            <v>0</v>
          </cell>
          <cell r="N115">
            <v>0</v>
          </cell>
          <cell r="O115">
            <v>0</v>
          </cell>
          <cell r="P115">
            <v>0</v>
          </cell>
        </row>
        <row r="116">
          <cell r="B116" t="str">
            <v>G</v>
          </cell>
          <cell r="C116">
            <v>48122</v>
          </cell>
          <cell r="D116" t="str">
            <v>G2.15</v>
          </cell>
          <cell r="E116" t="str">
            <v>For Code MTM 2" x 15m Coil Flexi Hose</v>
          </cell>
          <cell r="F116" t="str">
            <v>S</v>
          </cell>
          <cell r="H116">
            <v>25</v>
          </cell>
          <cell r="I116">
            <v>0</v>
          </cell>
          <cell r="J116">
            <v>16</v>
          </cell>
          <cell r="K116">
            <v>0.26522600000000002</v>
          </cell>
          <cell r="L116">
            <v>0</v>
          </cell>
          <cell r="M116">
            <v>0</v>
          </cell>
          <cell r="N116">
            <v>101</v>
          </cell>
          <cell r="O116">
            <v>101</v>
          </cell>
          <cell r="P116">
            <v>26</v>
          </cell>
        </row>
        <row r="117">
          <cell r="B117" t="str">
            <v>G</v>
          </cell>
          <cell r="C117">
            <v>48122</v>
          </cell>
          <cell r="D117" t="str">
            <v>G2.19</v>
          </cell>
          <cell r="E117" t="str">
            <v>63mm OD uPVC Compression Coupler</v>
          </cell>
          <cell r="F117" t="str">
            <v>S</v>
          </cell>
          <cell r="H117">
            <v>6.01</v>
          </cell>
          <cell r="I117">
            <v>0</v>
          </cell>
          <cell r="J117">
            <v>0</v>
          </cell>
          <cell r="K117">
            <v>0</v>
          </cell>
          <cell r="L117">
            <v>0</v>
          </cell>
          <cell r="M117">
            <v>0</v>
          </cell>
          <cell r="N117">
            <v>0</v>
          </cell>
          <cell r="O117">
            <v>0</v>
          </cell>
          <cell r="P117">
            <v>0</v>
          </cell>
        </row>
        <row r="118">
          <cell r="B118" t="str">
            <v>G</v>
          </cell>
          <cell r="C118">
            <v>48122</v>
          </cell>
          <cell r="D118" t="str">
            <v>G2.2</v>
          </cell>
          <cell r="E118" t="str">
            <v>2" BSP (m) Hose Coupler MI</v>
          </cell>
          <cell r="F118" t="str">
            <v>S</v>
          </cell>
          <cell r="H118">
            <v>5.1905000000000001</v>
          </cell>
          <cell r="I118">
            <v>0</v>
          </cell>
          <cell r="J118">
            <v>1</v>
          </cell>
          <cell r="K118">
            <v>6.0000000000000002E-6</v>
          </cell>
          <cell r="L118">
            <v>0</v>
          </cell>
          <cell r="M118">
            <v>0</v>
          </cell>
          <cell r="N118">
            <v>3</v>
          </cell>
          <cell r="O118">
            <v>2</v>
          </cell>
          <cell r="P118">
            <v>1</v>
          </cell>
        </row>
        <row r="119">
          <cell r="B119" t="str">
            <v>G</v>
          </cell>
          <cell r="C119">
            <v>48122</v>
          </cell>
          <cell r="D119" t="str">
            <v>G2.22</v>
          </cell>
          <cell r="E119" t="str">
            <v>2" Hex Nipple GI</v>
          </cell>
          <cell r="F119" t="str">
            <v>S</v>
          </cell>
          <cell r="H119">
            <v>2.4504999999999999</v>
          </cell>
          <cell r="I119">
            <v>0</v>
          </cell>
          <cell r="J119">
            <v>1</v>
          </cell>
          <cell r="K119">
            <v>6.0000000000000002E-6</v>
          </cell>
          <cell r="L119">
            <v>0</v>
          </cell>
          <cell r="M119">
            <v>0</v>
          </cell>
          <cell r="N119">
            <v>3</v>
          </cell>
          <cell r="O119">
            <v>2</v>
          </cell>
          <cell r="P119">
            <v>1</v>
          </cell>
        </row>
        <row r="120">
          <cell r="B120" t="str">
            <v>G</v>
          </cell>
          <cell r="C120">
            <v>48120</v>
          </cell>
          <cell r="D120" t="str">
            <v>G2.4</v>
          </cell>
          <cell r="E120" t="str">
            <v>2" Flexi Hose (30m coil)</v>
          </cell>
          <cell r="F120" t="str">
            <v>S</v>
          </cell>
          <cell r="H120">
            <v>60.69</v>
          </cell>
          <cell r="I120">
            <v>0</v>
          </cell>
          <cell r="J120">
            <v>26</v>
          </cell>
          <cell r="K120">
            <v>0.19101199999999999</v>
          </cell>
          <cell r="L120">
            <v>0</v>
          </cell>
          <cell r="M120">
            <v>0</v>
          </cell>
          <cell r="N120">
            <v>106</v>
          </cell>
          <cell r="O120">
            <v>106</v>
          </cell>
          <cell r="P120">
            <v>17</v>
          </cell>
        </row>
        <row r="121">
          <cell r="B121" t="str">
            <v>G</v>
          </cell>
          <cell r="C121">
            <v>48122</v>
          </cell>
          <cell r="D121" t="str">
            <v>G2.6</v>
          </cell>
          <cell r="E121" t="str">
            <v>2" BSP (F) Brass Gate Valve</v>
          </cell>
          <cell r="F121" t="str">
            <v>S</v>
          </cell>
          <cell r="G121">
            <v>10</v>
          </cell>
          <cell r="H121">
            <v>10</v>
          </cell>
          <cell r="I121">
            <v>100</v>
          </cell>
          <cell r="J121">
            <v>2</v>
          </cell>
          <cell r="K121">
            <v>1.44E-4</v>
          </cell>
          <cell r="L121">
            <v>20</v>
          </cell>
          <cell r="M121">
            <v>1.4400000000000001E-3</v>
          </cell>
          <cell r="N121">
            <v>8</v>
          </cell>
          <cell r="O121">
            <v>6</v>
          </cell>
          <cell r="P121">
            <v>3</v>
          </cell>
        </row>
        <row r="122">
          <cell r="B122" t="str">
            <v>G</v>
          </cell>
          <cell r="C122">
            <v>48122</v>
          </cell>
          <cell r="D122" t="str">
            <v>G3.1</v>
          </cell>
          <cell r="E122" t="str">
            <v>3" Flange Assembly</v>
          </cell>
          <cell r="F122" t="str">
            <v>S</v>
          </cell>
          <cell r="G122">
            <v>6</v>
          </cell>
          <cell r="H122">
            <v>31.43</v>
          </cell>
          <cell r="I122">
            <v>188.57999999999998</v>
          </cell>
          <cell r="J122">
            <v>6</v>
          </cell>
          <cell r="K122">
            <v>2.3040000000000001E-3</v>
          </cell>
          <cell r="L122">
            <v>36</v>
          </cell>
          <cell r="M122">
            <v>1.3823999999999999E-2</v>
          </cell>
          <cell r="N122">
            <v>16</v>
          </cell>
          <cell r="O122">
            <v>12</v>
          </cell>
          <cell r="P122">
            <v>12</v>
          </cell>
        </row>
        <row r="123">
          <cell r="B123" t="str">
            <v>G</v>
          </cell>
          <cell r="C123">
            <v>48122</v>
          </cell>
          <cell r="D123" t="str">
            <v>G3.10</v>
          </cell>
          <cell r="E123" t="str">
            <v>3" BSP (M) to 3" Compression Coupler uPVC</v>
          </cell>
          <cell r="F123" t="str">
            <v>S</v>
          </cell>
          <cell r="G123">
            <v>12</v>
          </cell>
          <cell r="H123">
            <v>10.7475</v>
          </cell>
          <cell r="I123">
            <v>128.97</v>
          </cell>
          <cell r="J123">
            <v>1</v>
          </cell>
          <cell r="K123">
            <v>9.0000000000000006E-5</v>
          </cell>
          <cell r="L123">
            <v>12</v>
          </cell>
          <cell r="M123">
            <v>1.08E-3</v>
          </cell>
          <cell r="N123">
            <v>6</v>
          </cell>
          <cell r="O123">
            <v>5</v>
          </cell>
          <cell r="P123">
            <v>3</v>
          </cell>
        </row>
        <row r="124">
          <cell r="B124" t="str">
            <v>G</v>
          </cell>
          <cell r="C124">
            <v>48122</v>
          </cell>
          <cell r="D124" t="str">
            <v>G3.14</v>
          </cell>
          <cell r="E124" t="str">
            <v>3" x 1" (F) Self-Tapping Ferrule Strap</v>
          </cell>
          <cell r="F124" t="str">
            <v>S</v>
          </cell>
          <cell r="G124">
            <v>6</v>
          </cell>
          <cell r="H124">
            <v>18.36</v>
          </cell>
          <cell r="I124">
            <v>110.16</v>
          </cell>
          <cell r="J124">
            <v>2</v>
          </cell>
          <cell r="K124">
            <v>9.0000000000000002E-6</v>
          </cell>
          <cell r="L124">
            <v>12</v>
          </cell>
          <cell r="M124">
            <v>5.3999999999999998E-5</v>
          </cell>
          <cell r="N124">
            <v>3</v>
          </cell>
          <cell r="O124">
            <v>3</v>
          </cell>
          <cell r="P124">
            <v>1</v>
          </cell>
        </row>
        <row r="125">
          <cell r="B125" t="str">
            <v>G</v>
          </cell>
          <cell r="C125">
            <v>48122</v>
          </cell>
          <cell r="D125" t="str">
            <v>G3.14.1</v>
          </cell>
          <cell r="E125" t="str">
            <v>Ferrule Strap Key</v>
          </cell>
          <cell r="F125" t="str">
            <v>S</v>
          </cell>
          <cell r="G125">
            <v>4</v>
          </cell>
          <cell r="H125">
            <v>8.3689</v>
          </cell>
          <cell r="I125">
            <v>33.4756</v>
          </cell>
          <cell r="J125">
            <v>0</v>
          </cell>
          <cell r="K125">
            <v>0</v>
          </cell>
          <cell r="L125">
            <v>0</v>
          </cell>
          <cell r="M125">
            <v>0</v>
          </cell>
          <cell r="N125">
            <v>1</v>
          </cell>
          <cell r="O125">
            <v>1</v>
          </cell>
          <cell r="P125">
            <v>0</v>
          </cell>
        </row>
        <row r="126">
          <cell r="B126" t="str">
            <v>G</v>
          </cell>
          <cell r="C126">
            <v>48120</v>
          </cell>
          <cell r="D126" t="str">
            <v>G3.15</v>
          </cell>
          <cell r="E126" t="str">
            <v>3" Suction Hose, Low Toxic (30m Coil)</v>
          </cell>
          <cell r="F126" t="str">
            <v>S</v>
          </cell>
          <cell r="G126">
            <v>6</v>
          </cell>
          <cell r="H126">
            <v>99.0762</v>
          </cell>
          <cell r="I126">
            <v>594.45720000000006</v>
          </cell>
          <cell r="J126">
            <v>51</v>
          </cell>
          <cell r="K126">
            <v>0.53868000000000005</v>
          </cell>
          <cell r="L126">
            <v>306</v>
          </cell>
          <cell r="M126">
            <v>3.2320800000000003</v>
          </cell>
          <cell r="N126">
            <v>134</v>
          </cell>
          <cell r="O126">
            <v>134</v>
          </cell>
          <cell r="P126">
            <v>30</v>
          </cell>
        </row>
        <row r="127">
          <cell r="B127" t="str">
            <v>G</v>
          </cell>
          <cell r="C127">
            <v>48122</v>
          </cell>
          <cell r="D127" t="str">
            <v>G3.18</v>
          </cell>
          <cell r="E127" t="str">
            <v>3" Bolted Hose Clip (86-91mm)</v>
          </cell>
          <cell r="F127" t="str">
            <v>S</v>
          </cell>
          <cell r="G127">
            <v>20</v>
          </cell>
          <cell r="H127">
            <v>1.67</v>
          </cell>
          <cell r="I127">
            <v>33.4</v>
          </cell>
          <cell r="J127">
            <v>0</v>
          </cell>
          <cell r="K127">
            <v>9.9999999999999995E-7</v>
          </cell>
          <cell r="L127">
            <v>0</v>
          </cell>
          <cell r="M127">
            <v>1.9999999999999998E-5</v>
          </cell>
          <cell r="N127">
            <v>1</v>
          </cell>
          <cell r="O127">
            <v>1</v>
          </cell>
          <cell r="P127">
            <v>1</v>
          </cell>
        </row>
        <row r="128">
          <cell r="B128" t="str">
            <v>G</v>
          </cell>
          <cell r="C128">
            <v>48122</v>
          </cell>
          <cell r="D128" t="str">
            <v>G3.19</v>
          </cell>
          <cell r="E128" t="str">
            <v>3" Tee (F) GI</v>
          </cell>
          <cell r="F128" t="str">
            <v>S</v>
          </cell>
          <cell r="G128">
            <v>12</v>
          </cell>
          <cell r="H128">
            <v>12.44</v>
          </cell>
          <cell r="I128">
            <v>149.28</v>
          </cell>
          <cell r="J128">
            <v>3</v>
          </cell>
          <cell r="K128">
            <v>1.4999999999999999E-4</v>
          </cell>
          <cell r="L128">
            <v>36</v>
          </cell>
          <cell r="M128">
            <v>1.8E-3</v>
          </cell>
          <cell r="N128">
            <v>6</v>
          </cell>
          <cell r="O128">
            <v>5</v>
          </cell>
          <cell r="P128">
            <v>5</v>
          </cell>
        </row>
        <row r="129">
          <cell r="B129" t="str">
            <v>G</v>
          </cell>
          <cell r="C129">
            <v>48122</v>
          </cell>
          <cell r="D129" t="str">
            <v>G3.2</v>
          </cell>
          <cell r="E129" t="str">
            <v>3" BSP (f) Hose Coupler For 90mm OD Hose</v>
          </cell>
          <cell r="F129" t="str">
            <v>S</v>
          </cell>
          <cell r="G129">
            <v>6</v>
          </cell>
          <cell r="I129">
            <v>0</v>
          </cell>
          <cell r="J129">
            <v>1</v>
          </cell>
          <cell r="K129">
            <v>1.2E-5</v>
          </cell>
          <cell r="L129">
            <v>6</v>
          </cell>
          <cell r="M129">
            <v>7.2000000000000002E-5</v>
          </cell>
          <cell r="N129">
            <v>3</v>
          </cell>
          <cell r="O129">
            <v>2</v>
          </cell>
          <cell r="P129">
            <v>2</v>
          </cell>
        </row>
        <row r="130">
          <cell r="B130" t="str">
            <v>G</v>
          </cell>
          <cell r="C130">
            <v>48122</v>
          </cell>
          <cell r="D130" t="str">
            <v>G3.3</v>
          </cell>
          <cell r="E130" t="str">
            <v>3" BSP (m) Hose Coupler For 90mm OD Hose</v>
          </cell>
          <cell r="F130" t="str">
            <v>S</v>
          </cell>
          <cell r="H130">
            <v>7.5490000000000004</v>
          </cell>
          <cell r="I130">
            <v>0</v>
          </cell>
          <cell r="J130">
            <v>1</v>
          </cell>
          <cell r="K130">
            <v>1.2E-5</v>
          </cell>
          <cell r="L130">
            <v>0</v>
          </cell>
          <cell r="M130">
            <v>0</v>
          </cell>
          <cell r="N130">
            <v>3</v>
          </cell>
          <cell r="O130">
            <v>2</v>
          </cell>
          <cell r="P130">
            <v>2</v>
          </cell>
        </row>
        <row r="131">
          <cell r="B131" t="str">
            <v>G</v>
          </cell>
          <cell r="C131">
            <v>48122</v>
          </cell>
          <cell r="D131" t="str">
            <v>G3.33</v>
          </cell>
          <cell r="E131" t="str">
            <v>3" 90 Degree Elbow (F) GI</v>
          </cell>
          <cell r="F131" t="str">
            <v>S</v>
          </cell>
          <cell r="G131">
            <v>12</v>
          </cell>
          <cell r="H131">
            <v>6.51</v>
          </cell>
          <cell r="I131">
            <v>78.12</v>
          </cell>
          <cell r="J131">
            <v>2</v>
          </cell>
          <cell r="K131">
            <v>3.6000000000000001E-5</v>
          </cell>
          <cell r="L131">
            <v>24</v>
          </cell>
          <cell r="M131">
            <v>4.3199999999999998E-4</v>
          </cell>
          <cell r="N131">
            <v>4</v>
          </cell>
          <cell r="O131">
            <v>3</v>
          </cell>
          <cell r="P131">
            <v>3</v>
          </cell>
        </row>
        <row r="132">
          <cell r="B132" t="str">
            <v>G</v>
          </cell>
          <cell r="C132">
            <v>48122</v>
          </cell>
          <cell r="D132" t="str">
            <v>G3.35</v>
          </cell>
          <cell r="E132" t="str">
            <v>3" Non-return Valve (Clack Valve) (F) Brass</v>
          </cell>
          <cell r="F132" t="str">
            <v>S</v>
          </cell>
          <cell r="G132">
            <v>4</v>
          </cell>
          <cell r="H132">
            <v>24.69</v>
          </cell>
          <cell r="I132">
            <v>98.76</v>
          </cell>
          <cell r="J132">
            <v>3</v>
          </cell>
          <cell r="K132">
            <v>8.0000000000000007E-5</v>
          </cell>
          <cell r="L132">
            <v>12</v>
          </cell>
          <cell r="M132">
            <v>3.2000000000000003E-4</v>
          </cell>
          <cell r="N132">
            <v>5</v>
          </cell>
          <cell r="O132">
            <v>4</v>
          </cell>
          <cell r="P132">
            <v>4</v>
          </cell>
        </row>
        <row r="133">
          <cell r="B133" t="str">
            <v>G</v>
          </cell>
          <cell r="C133">
            <v>48122</v>
          </cell>
          <cell r="D133" t="str">
            <v>G3.36</v>
          </cell>
          <cell r="E133" t="str">
            <v>3" Foot Valve + Strainer, Male Hose Stub - SOCLA</v>
          </cell>
          <cell r="F133" t="str">
            <v>S</v>
          </cell>
          <cell r="G133">
            <v>2</v>
          </cell>
          <cell r="H133">
            <v>59.53</v>
          </cell>
          <cell r="I133">
            <v>119.06</v>
          </cell>
          <cell r="J133">
            <v>12</v>
          </cell>
          <cell r="K133">
            <v>2.3040000000000001E-3</v>
          </cell>
          <cell r="L133">
            <v>24</v>
          </cell>
          <cell r="M133">
            <v>4.6080000000000001E-3</v>
          </cell>
          <cell r="N133">
            <v>16</v>
          </cell>
          <cell r="O133">
            <v>12</v>
          </cell>
          <cell r="P133">
            <v>12</v>
          </cell>
        </row>
        <row r="134">
          <cell r="B134" t="str">
            <v>G</v>
          </cell>
          <cell r="C134">
            <v>48122</v>
          </cell>
          <cell r="D134" t="str">
            <v>G3.37</v>
          </cell>
          <cell r="E134" t="str">
            <v>Automatic Air Release Valve</v>
          </cell>
          <cell r="F134" t="str">
            <v>N</v>
          </cell>
          <cell r="H134">
            <v>80</v>
          </cell>
          <cell r="I134">
            <v>0</v>
          </cell>
          <cell r="J134">
            <v>8</v>
          </cell>
          <cell r="K134">
            <v>7.9799999999999992E-3</v>
          </cell>
          <cell r="L134">
            <v>0</v>
          </cell>
          <cell r="M134">
            <v>0</v>
          </cell>
          <cell r="N134">
            <v>28</v>
          </cell>
          <cell r="O134">
            <v>19</v>
          </cell>
          <cell r="P134">
            <v>15</v>
          </cell>
        </row>
        <row r="135">
          <cell r="B135" t="str">
            <v>G</v>
          </cell>
          <cell r="C135">
            <v>48122</v>
          </cell>
          <cell r="D135" t="str">
            <v>G3.38</v>
          </cell>
          <cell r="E135" t="str">
            <v>Bulk Water Meter</v>
          </cell>
          <cell r="F135" t="str">
            <v>N</v>
          </cell>
          <cell r="H135">
            <v>342.62</v>
          </cell>
          <cell r="I135">
            <v>0</v>
          </cell>
          <cell r="J135">
            <v>26</v>
          </cell>
          <cell r="K135">
            <v>2.7993000000000001E-2</v>
          </cell>
          <cell r="L135">
            <v>0</v>
          </cell>
          <cell r="M135">
            <v>0</v>
          </cell>
          <cell r="N135">
            <v>43</v>
          </cell>
          <cell r="O135">
            <v>21</v>
          </cell>
          <cell r="P135">
            <v>31</v>
          </cell>
        </row>
        <row r="136">
          <cell r="B136" t="str">
            <v>G</v>
          </cell>
          <cell r="C136">
            <v>48122</v>
          </cell>
          <cell r="D136" t="str">
            <v>G3.39</v>
          </cell>
          <cell r="E136" t="str">
            <v>Pressure Reducing Valve</v>
          </cell>
          <cell r="F136" t="str">
            <v>N</v>
          </cell>
          <cell r="H136">
            <v>506.52</v>
          </cell>
          <cell r="I136">
            <v>0</v>
          </cell>
          <cell r="J136">
            <v>12</v>
          </cell>
          <cell r="K136">
            <v>1.8515E-2</v>
          </cell>
          <cell r="L136">
            <v>0</v>
          </cell>
          <cell r="M136">
            <v>0</v>
          </cell>
          <cell r="N136">
            <v>35</v>
          </cell>
          <cell r="O136">
            <v>23</v>
          </cell>
          <cell r="P136">
            <v>23</v>
          </cell>
        </row>
        <row r="137">
          <cell r="B137" t="str">
            <v>G</v>
          </cell>
          <cell r="C137">
            <v>48122</v>
          </cell>
          <cell r="D137" t="str">
            <v>G3.4</v>
          </cell>
          <cell r="E137" t="str">
            <v>3" BSP (F) Gate Valve Brass 8 Bar</v>
          </cell>
          <cell r="F137" t="str">
            <v>S</v>
          </cell>
          <cell r="G137">
            <v>6</v>
          </cell>
          <cell r="H137">
            <v>22.7057</v>
          </cell>
          <cell r="I137">
            <v>136.23419999999999</v>
          </cell>
          <cell r="J137">
            <v>4</v>
          </cell>
          <cell r="K137">
            <v>8.0000000000000004E-4</v>
          </cell>
          <cell r="L137">
            <v>24</v>
          </cell>
          <cell r="M137">
            <v>4.8000000000000004E-3</v>
          </cell>
          <cell r="N137">
            <v>10</v>
          </cell>
          <cell r="O137">
            <v>10</v>
          </cell>
          <cell r="P137">
            <v>8</v>
          </cell>
        </row>
        <row r="138">
          <cell r="B138" t="str">
            <v>G</v>
          </cell>
          <cell r="C138">
            <v>48122</v>
          </cell>
          <cell r="D138" t="str">
            <v>G3.8</v>
          </cell>
          <cell r="E138" t="str">
            <v>3" Hex Nipple GI</v>
          </cell>
          <cell r="F138" t="str">
            <v>S</v>
          </cell>
          <cell r="G138">
            <v>12</v>
          </cell>
          <cell r="H138">
            <v>6.49</v>
          </cell>
          <cell r="I138">
            <v>77.88</v>
          </cell>
          <cell r="J138">
            <v>2</v>
          </cell>
          <cell r="K138">
            <v>1.2E-5</v>
          </cell>
          <cell r="L138">
            <v>24</v>
          </cell>
          <cell r="M138">
            <v>1.44E-4</v>
          </cell>
          <cell r="N138">
            <v>3</v>
          </cell>
          <cell r="O138">
            <v>2</v>
          </cell>
          <cell r="P138">
            <v>2</v>
          </cell>
        </row>
        <row r="139">
          <cell r="B139" t="str">
            <v>G</v>
          </cell>
          <cell r="C139">
            <v>48122</v>
          </cell>
          <cell r="D139" t="str">
            <v>G3.9</v>
          </cell>
          <cell r="E139" t="str">
            <v>3" Compression Coupler uPVC</v>
          </cell>
          <cell r="F139" t="str">
            <v>S</v>
          </cell>
          <cell r="G139">
            <v>6</v>
          </cell>
          <cell r="H139">
            <v>14.55</v>
          </cell>
          <cell r="I139">
            <v>87.300000000000011</v>
          </cell>
          <cell r="J139">
            <v>2</v>
          </cell>
          <cell r="K139">
            <v>1.3999999999999999E-4</v>
          </cell>
          <cell r="L139">
            <v>12</v>
          </cell>
          <cell r="M139">
            <v>8.3999999999999993E-4</v>
          </cell>
          <cell r="N139">
            <v>7</v>
          </cell>
          <cell r="O139">
            <v>5</v>
          </cell>
          <cell r="P139">
            <v>4</v>
          </cell>
        </row>
        <row r="140">
          <cell r="B140" t="str">
            <v>G</v>
          </cell>
          <cell r="C140">
            <v>48120</v>
          </cell>
          <cell r="D140" t="str">
            <v>G4.1</v>
          </cell>
          <cell r="E140" t="str">
            <v>4" Bolted Hse Clip (113-121mm)</v>
          </cell>
          <cell r="F140" t="str">
            <v>S</v>
          </cell>
          <cell r="H140">
            <v>2.08</v>
          </cell>
          <cell r="I140">
            <v>0</v>
          </cell>
          <cell r="J140">
            <v>0.18</v>
          </cell>
          <cell r="K140">
            <v>1.9999999999999999E-6</v>
          </cell>
          <cell r="L140">
            <v>0</v>
          </cell>
          <cell r="M140">
            <v>0</v>
          </cell>
          <cell r="N140">
            <v>2</v>
          </cell>
          <cell r="O140">
            <v>1</v>
          </cell>
          <cell r="P140">
            <v>1</v>
          </cell>
        </row>
        <row r="141">
          <cell r="B141" t="str">
            <v>G</v>
          </cell>
          <cell r="C141">
            <v>48120</v>
          </cell>
          <cell r="D141" t="str">
            <v>G4.15</v>
          </cell>
          <cell r="E141" t="str">
            <v>4" Suction Hose - Low Toxic x 30m Coil</v>
          </cell>
          <cell r="F141" t="str">
            <v>S</v>
          </cell>
          <cell r="H141">
            <v>167.43</v>
          </cell>
          <cell r="I141">
            <v>0</v>
          </cell>
          <cell r="J141">
            <v>80</v>
          </cell>
          <cell r="K141">
            <v>0.76663999999999999</v>
          </cell>
          <cell r="L141">
            <v>0</v>
          </cell>
          <cell r="M141">
            <v>0</v>
          </cell>
          <cell r="N141">
            <v>148</v>
          </cell>
          <cell r="O141">
            <v>148</v>
          </cell>
          <cell r="P141">
            <v>35</v>
          </cell>
        </row>
        <row r="142">
          <cell r="B142" t="str">
            <v>G</v>
          </cell>
          <cell r="C142">
            <v>48122</v>
          </cell>
          <cell r="D142" t="str">
            <v>G4.2</v>
          </cell>
          <cell r="E142" t="str">
            <v>4" BSP (F) x 4" Hose Coupler, c/w Washer MI</v>
          </cell>
          <cell r="F142" t="str">
            <v>S</v>
          </cell>
          <cell r="H142">
            <v>20.25</v>
          </cell>
          <cell r="I142">
            <v>0</v>
          </cell>
          <cell r="J142">
            <v>3</v>
          </cell>
          <cell r="K142">
            <v>1.4999999999999999E-4</v>
          </cell>
          <cell r="L142">
            <v>0</v>
          </cell>
          <cell r="M142">
            <v>0</v>
          </cell>
          <cell r="N142">
            <v>6</v>
          </cell>
          <cell r="O142">
            <v>5</v>
          </cell>
          <cell r="P142">
            <v>5</v>
          </cell>
        </row>
        <row r="143">
          <cell r="B143" t="str">
            <v>G</v>
          </cell>
          <cell r="C143">
            <v>48122</v>
          </cell>
          <cell r="D143" t="str">
            <v>G4.3</v>
          </cell>
          <cell r="E143" t="str">
            <v>4" BSP (M) x 4" Hose Coupler MI</v>
          </cell>
          <cell r="F143" t="str">
            <v>S</v>
          </cell>
          <cell r="H143">
            <v>15.6</v>
          </cell>
          <cell r="I143">
            <v>0</v>
          </cell>
          <cell r="J143">
            <v>3</v>
          </cell>
          <cell r="K143">
            <v>1.4999999999999999E-4</v>
          </cell>
          <cell r="L143">
            <v>0</v>
          </cell>
          <cell r="M143">
            <v>0</v>
          </cell>
          <cell r="N143">
            <v>6</v>
          </cell>
          <cell r="O143">
            <v>5</v>
          </cell>
          <cell r="P143">
            <v>5</v>
          </cell>
        </row>
        <row r="144">
          <cell r="B144" t="str">
            <v>G</v>
          </cell>
          <cell r="C144">
            <v>48122</v>
          </cell>
          <cell r="D144" t="str">
            <v>G4.4</v>
          </cell>
          <cell r="E144" t="str">
            <v>4" Footvalve + Strainer, Male Hose Stub - SOCLA</v>
          </cell>
          <cell r="F144" t="str">
            <v>S</v>
          </cell>
          <cell r="H144">
            <v>28.09</v>
          </cell>
          <cell r="I144">
            <v>0</v>
          </cell>
          <cell r="J144">
            <v>5</v>
          </cell>
          <cell r="K144">
            <v>2.16E-3</v>
          </cell>
          <cell r="L144">
            <v>0</v>
          </cell>
          <cell r="M144">
            <v>0</v>
          </cell>
          <cell r="N144">
            <v>15</v>
          </cell>
          <cell r="O144">
            <v>12</v>
          </cell>
          <cell r="P144">
            <v>12</v>
          </cell>
        </row>
        <row r="145">
          <cell r="B145" t="str">
            <v>H</v>
          </cell>
          <cell r="C145">
            <v>48002</v>
          </cell>
          <cell r="D145" t="str">
            <v>HAS</v>
          </cell>
          <cell r="E145" t="str">
            <v>All Purpose Soap</v>
          </cell>
          <cell r="F145" t="str">
            <v>S</v>
          </cell>
          <cell r="H145">
            <v>579.20000000000005</v>
          </cell>
          <cell r="I145">
            <v>0</v>
          </cell>
          <cell r="J145">
            <v>872</v>
          </cell>
          <cell r="K145">
            <v>1.272</v>
          </cell>
          <cell r="L145">
            <v>0</v>
          </cell>
          <cell r="M145">
            <v>0</v>
          </cell>
          <cell r="N145">
            <v>106</v>
          </cell>
          <cell r="O145">
            <v>120</v>
          </cell>
          <cell r="P145">
            <v>100</v>
          </cell>
        </row>
        <row r="146">
          <cell r="B146" t="str">
            <v>H</v>
          </cell>
          <cell r="C146">
            <v>48005</v>
          </cell>
          <cell r="D146" t="str">
            <v>HD</v>
          </cell>
          <cell r="E146" t="str">
            <v>Emergency Health Kit</v>
          </cell>
          <cell r="F146" t="str">
            <v>N</v>
          </cell>
          <cell r="H146">
            <v>3089.41</v>
          </cell>
          <cell r="I146">
            <v>0</v>
          </cell>
          <cell r="J146">
            <v>865</v>
          </cell>
          <cell r="K146">
            <v>3.41</v>
          </cell>
          <cell r="L146">
            <v>0</v>
          </cell>
          <cell r="M146">
            <v>0</v>
          </cell>
        </row>
        <row r="147">
          <cell r="B147" t="str">
            <v>H</v>
          </cell>
          <cell r="C147">
            <v>47432</v>
          </cell>
          <cell r="D147" t="str">
            <v>HFA</v>
          </cell>
          <cell r="E147" t="str">
            <v>Emergency First Aid Kit</v>
          </cell>
          <cell r="F147" t="str">
            <v>N</v>
          </cell>
          <cell r="I147">
            <v>0</v>
          </cell>
          <cell r="J147">
            <v>13.85</v>
          </cell>
          <cell r="K147">
            <v>6.6000000000000003E-2</v>
          </cell>
          <cell r="L147">
            <v>0</v>
          </cell>
        </row>
        <row r="148">
          <cell r="B148" t="str">
            <v>H</v>
          </cell>
          <cell r="C148">
            <v>48005</v>
          </cell>
          <cell r="D148" t="str">
            <v>HMT</v>
          </cell>
          <cell r="E148" t="str">
            <v>Multi Purpose Toweling</v>
          </cell>
          <cell r="F148" t="str">
            <v>S</v>
          </cell>
          <cell r="H148">
            <v>1223</v>
          </cell>
          <cell r="I148">
            <v>0</v>
          </cell>
          <cell r="J148">
            <v>227</v>
          </cell>
          <cell r="K148">
            <v>2.532</v>
          </cell>
          <cell r="L148">
            <v>0</v>
          </cell>
          <cell r="M148">
            <v>0</v>
          </cell>
          <cell r="N148">
            <v>211</v>
          </cell>
          <cell r="O148">
            <v>120</v>
          </cell>
          <cell r="P148">
            <v>100</v>
          </cell>
        </row>
        <row r="149">
          <cell r="B149" t="str">
            <v>H</v>
          </cell>
          <cell r="C149">
            <v>48003</v>
          </cell>
          <cell r="D149" t="str">
            <v>HORS</v>
          </cell>
          <cell r="E149" t="str">
            <v>Oral Re-hydration Salts</v>
          </cell>
          <cell r="F149" t="str">
            <v>S</v>
          </cell>
          <cell r="H149">
            <v>106.33</v>
          </cell>
          <cell r="I149">
            <v>0</v>
          </cell>
          <cell r="J149">
            <v>33</v>
          </cell>
          <cell r="K149">
            <v>7.392E-2</v>
          </cell>
          <cell r="L149">
            <v>0</v>
          </cell>
          <cell r="M149">
            <v>0</v>
          </cell>
          <cell r="N149">
            <v>24</v>
          </cell>
          <cell r="O149">
            <v>77</v>
          </cell>
          <cell r="P149">
            <v>40</v>
          </cell>
        </row>
        <row r="150">
          <cell r="B150" t="str">
            <v>K</v>
          </cell>
          <cell r="C150">
            <v>46309</v>
          </cell>
          <cell r="D150" t="str">
            <v>KFX</v>
          </cell>
          <cell r="E150" t="str">
            <v xml:space="preserve">Office Fax Machine </v>
          </cell>
          <cell r="F150" t="str">
            <v>S</v>
          </cell>
          <cell r="H150">
            <v>354.96</v>
          </cell>
          <cell r="I150">
            <v>0</v>
          </cell>
          <cell r="J150">
            <v>9</v>
          </cell>
          <cell r="K150">
            <v>8.1733E-2</v>
          </cell>
          <cell r="L150">
            <v>0</v>
          </cell>
          <cell r="M150">
            <v>0</v>
          </cell>
          <cell r="N150">
            <v>47</v>
          </cell>
          <cell r="O150">
            <v>47</v>
          </cell>
          <cell r="P150">
            <v>37</v>
          </cell>
        </row>
        <row r="151">
          <cell r="B151" t="str">
            <v>K</v>
          </cell>
          <cell r="C151" t="str">
            <v>46054 / 46074</v>
          </cell>
          <cell r="D151" t="str">
            <v>KG</v>
          </cell>
          <cell r="E151" t="str">
            <v>Generator Kit</v>
          </cell>
          <cell r="F151" t="str">
            <v>S</v>
          </cell>
          <cell r="H151">
            <v>1874</v>
          </cell>
          <cell r="I151">
            <v>0</v>
          </cell>
          <cell r="J151">
            <v>160</v>
          </cell>
          <cell r="K151">
            <v>0.79161599999999999</v>
          </cell>
          <cell r="L151">
            <v>0</v>
          </cell>
          <cell r="M151">
            <v>0</v>
          </cell>
          <cell r="N151">
            <v>112</v>
          </cell>
          <cell r="O151">
            <v>76</v>
          </cell>
          <cell r="P151">
            <v>93</v>
          </cell>
        </row>
        <row r="152">
          <cell r="B152" t="str">
            <v>K</v>
          </cell>
          <cell r="C152">
            <v>46350</v>
          </cell>
          <cell r="D152" t="str">
            <v>KHB</v>
          </cell>
          <cell r="E152" t="str">
            <v>HF Radio Base Station</v>
          </cell>
          <cell r="F152" t="str">
            <v>S</v>
          </cell>
          <cell r="H152">
            <v>1972.25</v>
          </cell>
          <cell r="I152">
            <v>0</v>
          </cell>
          <cell r="J152">
            <v>15</v>
          </cell>
          <cell r="K152">
            <v>0.13200000000000001</v>
          </cell>
          <cell r="L152">
            <v>0</v>
          </cell>
          <cell r="M152">
            <v>0</v>
          </cell>
        </row>
        <row r="153">
          <cell r="B153" t="str">
            <v>K</v>
          </cell>
          <cell r="C153">
            <v>46205</v>
          </cell>
          <cell r="D153" t="str">
            <v>KHDF</v>
          </cell>
          <cell r="E153" t="str">
            <v>HF Data Modem Kit for KHB/5 (Codan NGT)</v>
          </cell>
          <cell r="F153" t="str">
            <v>S</v>
          </cell>
          <cell r="H153">
            <v>1167.3599999999999</v>
          </cell>
          <cell r="I153">
            <v>0</v>
          </cell>
          <cell r="J153">
            <v>9</v>
          </cell>
          <cell r="K153">
            <v>4.8551999999999998E-2</v>
          </cell>
          <cell r="L153">
            <v>0</v>
          </cell>
          <cell r="M153">
            <v>0</v>
          </cell>
          <cell r="N153">
            <v>51</v>
          </cell>
          <cell r="O153">
            <v>34</v>
          </cell>
          <cell r="P153">
            <v>28</v>
          </cell>
        </row>
        <row r="154">
          <cell r="B154" t="str">
            <v>K</v>
          </cell>
          <cell r="C154">
            <v>46351</v>
          </cell>
          <cell r="D154" t="str">
            <v>KHM</v>
          </cell>
          <cell r="E154" t="str">
            <v>HF Mobile Radio</v>
          </cell>
          <cell r="F154" t="str">
            <v>S</v>
          </cell>
          <cell r="H154">
            <v>1584.46</v>
          </cell>
          <cell r="I154">
            <v>0</v>
          </cell>
          <cell r="J154">
            <v>15.5</v>
          </cell>
          <cell r="K154">
            <v>0.112</v>
          </cell>
          <cell r="L154">
            <v>0</v>
          </cell>
          <cell r="M154">
            <v>0</v>
          </cell>
        </row>
        <row r="155">
          <cell r="B155" t="str">
            <v>K</v>
          </cell>
          <cell r="C155">
            <v>46350</v>
          </cell>
          <cell r="D155" t="str">
            <v>KHR</v>
          </cell>
          <cell r="E155" t="str">
            <v>Retrofit Kit for Upgrading of Code KHB</v>
          </cell>
          <cell r="F155" t="str">
            <v>S</v>
          </cell>
          <cell r="H155">
            <v>3035</v>
          </cell>
          <cell r="I155">
            <v>0</v>
          </cell>
          <cell r="J155">
            <v>7</v>
          </cell>
          <cell r="K155">
            <v>6.9599999999999995E-2</v>
          </cell>
          <cell r="L155">
            <v>0</v>
          </cell>
          <cell r="M155">
            <v>0</v>
          </cell>
          <cell r="N155">
            <v>58</v>
          </cell>
          <cell r="O155">
            <v>48</v>
          </cell>
          <cell r="P155">
            <v>25</v>
          </cell>
        </row>
        <row r="156">
          <cell r="B156" t="str">
            <v>K</v>
          </cell>
          <cell r="C156">
            <v>46352</v>
          </cell>
          <cell r="D156" t="str">
            <v>KI</v>
          </cell>
          <cell r="E156" t="str">
            <v>Inverter (12v to 220v AC /DC)</v>
          </cell>
          <cell r="F156" t="str">
            <v>S</v>
          </cell>
          <cell r="H156">
            <v>142.56</v>
          </cell>
          <cell r="I156">
            <v>0</v>
          </cell>
          <cell r="J156">
            <v>1</v>
          </cell>
          <cell r="K156">
            <v>3.6719999999999999E-3</v>
          </cell>
          <cell r="L156">
            <v>0</v>
          </cell>
          <cell r="M156">
            <v>0</v>
          </cell>
          <cell r="N156">
            <v>24</v>
          </cell>
          <cell r="O156">
            <v>17</v>
          </cell>
          <cell r="P156">
            <v>9</v>
          </cell>
        </row>
        <row r="157">
          <cell r="B157" t="str">
            <v>K</v>
          </cell>
          <cell r="C157">
            <v>46353</v>
          </cell>
          <cell r="D157" t="str">
            <v>KM</v>
          </cell>
          <cell r="E157" t="str">
            <v>Lightweight Antenna Mast Kit</v>
          </cell>
          <cell r="F157" t="str">
            <v>S</v>
          </cell>
          <cell r="H157">
            <v>400.23</v>
          </cell>
          <cell r="I157">
            <v>0</v>
          </cell>
          <cell r="J157">
            <v>48</v>
          </cell>
          <cell r="K157">
            <v>0.41471999999999998</v>
          </cell>
          <cell r="L157">
            <v>0</v>
          </cell>
          <cell r="M157">
            <v>0</v>
          </cell>
          <cell r="N157">
            <v>320</v>
          </cell>
          <cell r="O157">
            <v>36</v>
          </cell>
          <cell r="P157">
            <v>36</v>
          </cell>
        </row>
        <row r="158">
          <cell r="B158" t="str">
            <v>K</v>
          </cell>
          <cell r="C158">
            <v>46354</v>
          </cell>
          <cell r="D158" t="str">
            <v>KP</v>
          </cell>
          <cell r="E158" t="str">
            <v>Power Kit</v>
          </cell>
          <cell r="F158" t="str">
            <v>S</v>
          </cell>
          <cell r="H158">
            <v>824.95500000000004</v>
          </cell>
          <cell r="I158">
            <v>0</v>
          </cell>
          <cell r="J158">
            <v>50</v>
          </cell>
          <cell r="K158">
            <v>7.0559999999999998E-2</v>
          </cell>
          <cell r="L158">
            <v>0</v>
          </cell>
          <cell r="M158">
            <v>0</v>
          </cell>
          <cell r="N158">
            <v>42</v>
          </cell>
          <cell r="O158">
            <v>42</v>
          </cell>
          <cell r="P158">
            <v>40</v>
          </cell>
        </row>
        <row r="159">
          <cell r="B159" t="str">
            <v>K</v>
          </cell>
          <cell r="C159">
            <v>46309</v>
          </cell>
          <cell r="D159" t="str">
            <v>KSATF</v>
          </cell>
          <cell r="E159" t="str">
            <v>Fax Machine for use only with a Satphone Unit*</v>
          </cell>
          <cell r="F159" t="str">
            <v>S</v>
          </cell>
          <cell r="H159">
            <v>255</v>
          </cell>
          <cell r="I159">
            <v>0</v>
          </cell>
          <cell r="J159">
            <v>3</v>
          </cell>
          <cell r="K159">
            <v>2.6599999999999999E-2</v>
          </cell>
          <cell r="L159">
            <v>0</v>
          </cell>
          <cell r="M159">
            <v>0</v>
          </cell>
          <cell r="N159">
            <v>38</v>
          </cell>
          <cell r="O159">
            <v>25</v>
          </cell>
          <cell r="P159">
            <v>28</v>
          </cell>
        </row>
        <row r="160">
          <cell r="B160" t="str">
            <v>K</v>
          </cell>
          <cell r="C160">
            <v>46300</v>
          </cell>
          <cell r="D160" t="str">
            <v>KSATM</v>
          </cell>
          <cell r="E160" t="str">
            <v>Satellite Telephone Mini-M Unit*</v>
          </cell>
          <cell r="F160" t="str">
            <v>S</v>
          </cell>
          <cell r="H160">
            <v>1606</v>
          </cell>
          <cell r="I160">
            <v>0</v>
          </cell>
          <cell r="J160">
            <v>4</v>
          </cell>
          <cell r="K160">
            <v>1.7999999999999999E-2</v>
          </cell>
          <cell r="L160">
            <v>0</v>
          </cell>
          <cell r="M160">
            <v>0</v>
          </cell>
          <cell r="N160">
            <v>30</v>
          </cell>
          <cell r="O160">
            <v>40</v>
          </cell>
          <cell r="P160">
            <v>15</v>
          </cell>
        </row>
        <row r="161">
          <cell r="B161" t="str">
            <v>K</v>
          </cell>
          <cell r="C161">
            <v>46301</v>
          </cell>
          <cell r="D161" t="str">
            <v>KSATT</v>
          </cell>
          <cell r="E161" t="str">
            <v>Thuraya Handheld Satellite Telephone</v>
          </cell>
          <cell r="F161" t="str">
            <v>N</v>
          </cell>
          <cell r="H161">
            <v>770</v>
          </cell>
          <cell r="I161">
            <v>0</v>
          </cell>
          <cell r="J161">
            <v>1.4</v>
          </cell>
          <cell r="K161">
            <v>5.4000000000000003E-3</v>
          </cell>
          <cell r="L161">
            <v>0</v>
          </cell>
          <cell r="M161">
            <v>0</v>
          </cell>
          <cell r="N161">
            <v>18</v>
          </cell>
          <cell r="O161">
            <v>25</v>
          </cell>
          <cell r="P161">
            <v>12</v>
          </cell>
        </row>
        <row r="162">
          <cell r="B162" t="str">
            <v>K</v>
          </cell>
          <cell r="C162">
            <v>46300</v>
          </cell>
          <cell r="D162" t="str">
            <v>KSATX</v>
          </cell>
          <cell r="E162" t="str">
            <v>External 17 dB Gain Antenna</v>
          </cell>
          <cell r="F162" t="str">
            <v>N</v>
          </cell>
          <cell r="H162">
            <v>1335</v>
          </cell>
          <cell r="I162">
            <v>0</v>
          </cell>
          <cell r="J162">
            <v>7</v>
          </cell>
          <cell r="K162">
            <v>4.6367999999999999E-2</v>
          </cell>
          <cell r="L162">
            <v>0</v>
          </cell>
          <cell r="M162">
            <v>0</v>
          </cell>
          <cell r="N162">
            <v>69</v>
          </cell>
          <cell r="O162">
            <v>56</v>
          </cell>
          <cell r="P162">
            <v>12</v>
          </cell>
        </row>
        <row r="163">
          <cell r="B163" t="str">
            <v>K</v>
          </cell>
          <cell r="C163">
            <v>46355</v>
          </cell>
          <cell r="D163" t="str">
            <v>KSP</v>
          </cell>
          <cell r="E163" t="str">
            <v>Solar Power Kit</v>
          </cell>
          <cell r="F163" t="str">
            <v>S</v>
          </cell>
          <cell r="H163">
            <v>1060</v>
          </cell>
          <cell r="I163">
            <v>0</v>
          </cell>
          <cell r="J163">
            <v>60</v>
          </cell>
          <cell r="K163">
            <v>0.24192</v>
          </cell>
          <cell r="L163">
            <v>0</v>
          </cell>
          <cell r="M163">
            <v>0</v>
          </cell>
          <cell r="N163">
            <v>126</v>
          </cell>
          <cell r="O163">
            <v>60</v>
          </cell>
          <cell r="P163">
            <v>32</v>
          </cell>
        </row>
        <row r="164">
          <cell r="B164" t="str">
            <v>K</v>
          </cell>
          <cell r="C164">
            <v>46356</v>
          </cell>
          <cell r="D164" t="str">
            <v>KT</v>
          </cell>
          <cell r="E164" t="str">
            <v>Communications Tool Kit</v>
          </cell>
          <cell r="F164" t="str">
            <v>S</v>
          </cell>
          <cell r="H164">
            <v>308.97719999999998</v>
          </cell>
          <cell r="I164">
            <v>0</v>
          </cell>
          <cell r="J164">
            <v>32</v>
          </cell>
          <cell r="K164">
            <v>0.116688</v>
          </cell>
          <cell r="L164">
            <v>0</v>
          </cell>
          <cell r="M164">
            <v>0</v>
          </cell>
          <cell r="N164">
            <v>52</v>
          </cell>
          <cell r="O164">
            <v>34</v>
          </cell>
          <cell r="P164">
            <v>66</v>
          </cell>
        </row>
        <row r="165">
          <cell r="B165" t="str">
            <v>K</v>
          </cell>
          <cell r="C165">
            <v>46357</v>
          </cell>
          <cell r="D165" t="str">
            <v>KVHB</v>
          </cell>
          <cell r="E165" t="str">
            <v>VHF Base/Mobile Station</v>
          </cell>
          <cell r="F165" t="str">
            <v>S</v>
          </cell>
          <cell r="H165">
            <v>541.25</v>
          </cell>
          <cell r="I165">
            <v>0</v>
          </cell>
          <cell r="J165">
            <v>13</v>
          </cell>
          <cell r="K165">
            <v>0.10199999999999999</v>
          </cell>
          <cell r="L165">
            <v>0</v>
          </cell>
          <cell r="M165">
            <v>0</v>
          </cell>
          <cell r="N165">
            <v>136</v>
          </cell>
          <cell r="O165">
            <v>30</v>
          </cell>
          <cell r="P165">
            <v>25</v>
          </cell>
        </row>
        <row r="166">
          <cell r="B166" t="str">
            <v>K</v>
          </cell>
          <cell r="C166">
            <v>46358</v>
          </cell>
          <cell r="D166" t="str">
            <v>KVHW</v>
          </cell>
          <cell r="E166" t="str">
            <v>VHF Hand Portable Kit</v>
          </cell>
          <cell r="F166" t="str">
            <v>S</v>
          </cell>
          <cell r="H166">
            <v>1041.19</v>
          </cell>
          <cell r="I166">
            <v>0</v>
          </cell>
          <cell r="J166">
            <v>11</v>
          </cell>
          <cell r="K166">
            <v>5.67E-2</v>
          </cell>
          <cell r="L166">
            <v>0</v>
          </cell>
          <cell r="M166">
            <v>0</v>
          </cell>
          <cell r="N166">
            <v>45</v>
          </cell>
          <cell r="O166">
            <v>35</v>
          </cell>
          <cell r="P166">
            <v>36</v>
          </cell>
        </row>
        <row r="167">
          <cell r="B167" t="str">
            <v>L</v>
          </cell>
          <cell r="C167">
            <v>48160</v>
          </cell>
          <cell r="D167" t="str">
            <v>LD</v>
          </cell>
          <cell r="E167" t="str">
            <v>Latrine Digging Kit</v>
          </cell>
          <cell r="F167" t="str">
            <v>S</v>
          </cell>
          <cell r="H167">
            <v>482.19240000000002</v>
          </cell>
          <cell r="I167">
            <v>0</v>
          </cell>
          <cell r="J167">
            <v>208</v>
          </cell>
          <cell r="K167">
            <v>0.93920800000000004</v>
          </cell>
          <cell r="L167">
            <v>0</v>
          </cell>
          <cell r="M167">
            <v>0</v>
          </cell>
          <cell r="N167">
            <v>167</v>
          </cell>
          <cell r="O167">
            <v>76</v>
          </cell>
          <cell r="P167">
            <v>74</v>
          </cell>
        </row>
        <row r="168">
          <cell r="B168" t="str">
            <v>L</v>
          </cell>
          <cell r="C168">
            <v>48160</v>
          </cell>
          <cell r="D168" t="str">
            <v>LF</v>
          </cell>
          <cell r="E168" t="str">
            <v>Defecation Field/Trench Latrine Kit</v>
          </cell>
          <cell r="F168" t="str">
            <v>S</v>
          </cell>
          <cell r="H168">
            <v>217.23</v>
          </cell>
          <cell r="I168">
            <v>0</v>
          </cell>
          <cell r="J168">
            <v>56</v>
          </cell>
          <cell r="K168">
            <v>0.62568000000000001</v>
          </cell>
          <cell r="L168">
            <v>0</v>
          </cell>
          <cell r="M168">
            <v>0</v>
          </cell>
          <cell r="N168">
            <v>132</v>
          </cell>
          <cell r="O168">
            <v>60</v>
          </cell>
          <cell r="P168">
            <v>79</v>
          </cell>
        </row>
        <row r="169">
          <cell r="B169" t="str">
            <v>L</v>
          </cell>
          <cell r="C169">
            <v>48161</v>
          </cell>
          <cell r="D169" t="str">
            <v>LOP</v>
          </cell>
          <cell r="E169" t="str">
            <v>Self-supporting plastic squatting plate x 17</v>
          </cell>
          <cell r="F169" t="str">
            <v>S</v>
          </cell>
          <cell r="H169">
            <v>414.12</v>
          </cell>
          <cell r="I169">
            <v>0</v>
          </cell>
          <cell r="J169">
            <v>228</v>
          </cell>
          <cell r="K169">
            <v>2.5409999999999999</v>
          </cell>
          <cell r="L169">
            <v>0</v>
          </cell>
          <cell r="M169">
            <v>0</v>
          </cell>
          <cell r="N169">
            <v>121</v>
          </cell>
          <cell r="O169">
            <v>105</v>
          </cell>
          <cell r="P169">
            <v>200</v>
          </cell>
        </row>
        <row r="170">
          <cell r="B170" t="str">
            <v>L</v>
          </cell>
          <cell r="C170">
            <v>48161</v>
          </cell>
          <cell r="D170" t="str">
            <v>LP</v>
          </cell>
          <cell r="E170" t="str">
            <v>Plastic Squatting Plates</v>
          </cell>
          <cell r="F170" t="str">
            <v>S</v>
          </cell>
          <cell r="H170">
            <v>102</v>
          </cell>
          <cell r="I170">
            <v>0</v>
          </cell>
          <cell r="J170">
            <v>39</v>
          </cell>
          <cell r="K170">
            <v>0.23400000000000001</v>
          </cell>
          <cell r="L170">
            <v>0</v>
          </cell>
          <cell r="M170">
            <v>0</v>
          </cell>
          <cell r="N170">
            <v>78</v>
          </cell>
          <cell r="O170">
            <v>60</v>
          </cell>
          <cell r="P170">
            <v>50</v>
          </cell>
        </row>
        <row r="171">
          <cell r="B171" t="str">
            <v>L</v>
          </cell>
          <cell r="C171">
            <v>48162</v>
          </cell>
          <cell r="D171" t="str">
            <v>LS</v>
          </cell>
          <cell r="E171" t="str">
            <v>Latrine Slab Kit</v>
          </cell>
          <cell r="F171" t="str">
            <v>S</v>
          </cell>
          <cell r="H171">
            <v>1659.29</v>
          </cell>
          <cell r="I171">
            <v>0</v>
          </cell>
          <cell r="J171">
            <v>265</v>
          </cell>
          <cell r="K171">
            <v>1.1770080000000001</v>
          </cell>
          <cell r="L171">
            <v>0</v>
          </cell>
          <cell r="M171">
            <v>0</v>
          </cell>
          <cell r="N171">
            <v>186</v>
          </cell>
          <cell r="O171">
            <v>113</v>
          </cell>
          <cell r="P171">
            <v>56</v>
          </cell>
        </row>
        <row r="172">
          <cell r="B172" t="str">
            <v>L</v>
          </cell>
          <cell r="C172">
            <v>48165</v>
          </cell>
          <cell r="D172" t="str">
            <v>LSP</v>
          </cell>
          <cell r="E172" t="str">
            <v>Sanplat Latrine Slab Mould</v>
          </cell>
          <cell r="F172" t="str">
            <v>S</v>
          </cell>
          <cell r="H172">
            <v>52.28</v>
          </cell>
          <cell r="I172">
            <v>0</v>
          </cell>
          <cell r="J172">
            <v>4</v>
          </cell>
          <cell r="K172">
            <v>4.7960999999999997E-2</v>
          </cell>
          <cell r="L172">
            <v>0</v>
          </cell>
          <cell r="M172">
            <v>0</v>
          </cell>
          <cell r="N172">
            <v>73</v>
          </cell>
          <cell r="O172">
            <v>73</v>
          </cell>
          <cell r="P172">
            <v>9</v>
          </cell>
        </row>
        <row r="173">
          <cell r="B173" t="str">
            <v>L</v>
          </cell>
          <cell r="C173">
            <v>48163</v>
          </cell>
          <cell r="D173" t="str">
            <v>LST</v>
          </cell>
          <cell r="E173" t="str">
            <v>Emergency Latrine Superstructure (10 blocks of 4)</v>
          </cell>
          <cell r="F173" t="str">
            <v>S</v>
          </cell>
          <cell r="H173">
            <v>1060</v>
          </cell>
          <cell r="I173">
            <v>0</v>
          </cell>
          <cell r="J173">
            <v>265</v>
          </cell>
          <cell r="K173">
            <v>0.108</v>
          </cell>
          <cell r="L173">
            <v>0</v>
          </cell>
          <cell r="M173">
            <v>0</v>
          </cell>
          <cell r="N173">
            <v>30</v>
          </cell>
          <cell r="O173">
            <v>30</v>
          </cell>
          <cell r="P173">
            <v>120</v>
          </cell>
        </row>
        <row r="174">
          <cell r="B174" t="str">
            <v>N</v>
          </cell>
          <cell r="C174">
            <v>48351</v>
          </cell>
          <cell r="D174" t="str">
            <v>NKIT1</v>
          </cell>
          <cell r="E174" t="str">
            <v>Anthropometric</v>
          </cell>
          <cell r="F174" t="str">
            <v>S</v>
          </cell>
          <cell r="H174">
            <v>327</v>
          </cell>
          <cell r="I174">
            <v>0</v>
          </cell>
          <cell r="J174">
            <v>26</v>
          </cell>
          <cell r="K174">
            <v>0.21895999999999999</v>
          </cell>
          <cell r="L174">
            <v>0</v>
          </cell>
          <cell r="M174">
            <v>0</v>
          </cell>
          <cell r="N174">
            <v>136</v>
          </cell>
          <cell r="O174">
            <v>35</v>
          </cell>
          <cell r="P174">
            <v>46</v>
          </cell>
        </row>
        <row r="175">
          <cell r="B175" t="str">
            <v>N</v>
          </cell>
          <cell r="C175">
            <v>48351</v>
          </cell>
          <cell r="D175" t="str">
            <v>NKIT2</v>
          </cell>
          <cell r="E175" t="str">
            <v>Supplementary Feeding (Wet)</v>
          </cell>
          <cell r="F175" t="str">
            <v>S</v>
          </cell>
          <cell r="H175">
            <v>755</v>
          </cell>
          <cell r="I175">
            <v>0</v>
          </cell>
          <cell r="J175">
            <v>110</v>
          </cell>
          <cell r="K175">
            <v>0.85680000000000001</v>
          </cell>
          <cell r="L175">
            <v>0</v>
          </cell>
          <cell r="M175">
            <v>0</v>
          </cell>
          <cell r="N175">
            <v>140</v>
          </cell>
          <cell r="O175">
            <v>68</v>
          </cell>
          <cell r="P175">
            <v>90</v>
          </cell>
        </row>
        <row r="176">
          <cell r="B176" t="str">
            <v>N</v>
          </cell>
          <cell r="C176">
            <v>48359</v>
          </cell>
          <cell r="D176" t="str">
            <v>NKIT2A</v>
          </cell>
          <cell r="E176" t="str">
            <v>Registration Kit for Supplementary Feeding (Wet)</v>
          </cell>
          <cell r="F176" t="str">
            <v>S</v>
          </cell>
          <cell r="H176">
            <v>136</v>
          </cell>
          <cell r="I176">
            <v>0</v>
          </cell>
          <cell r="J176">
            <v>16</v>
          </cell>
          <cell r="K176">
            <v>7.9523999999999997E-2</v>
          </cell>
          <cell r="L176">
            <v>0</v>
          </cell>
          <cell r="M176">
            <v>0</v>
          </cell>
          <cell r="N176">
            <v>47</v>
          </cell>
          <cell r="O176">
            <v>47</v>
          </cell>
          <cell r="P176">
            <v>36</v>
          </cell>
        </row>
        <row r="177">
          <cell r="B177" t="str">
            <v>N</v>
          </cell>
          <cell r="C177">
            <v>48351</v>
          </cell>
          <cell r="D177" t="str">
            <v>NKIT3</v>
          </cell>
          <cell r="E177" t="str">
            <v>Supplementary Feeding (Dry)</v>
          </cell>
          <cell r="F177" t="str">
            <v>S</v>
          </cell>
          <cell r="H177">
            <v>335</v>
          </cell>
          <cell r="I177">
            <v>0</v>
          </cell>
          <cell r="J177">
            <v>47</v>
          </cell>
          <cell r="K177">
            <v>0.48</v>
          </cell>
          <cell r="L177">
            <v>0</v>
          </cell>
          <cell r="M177">
            <v>0</v>
          </cell>
          <cell r="N177">
            <v>80</v>
          </cell>
          <cell r="O177">
            <v>80</v>
          </cell>
          <cell r="P177">
            <v>75</v>
          </cell>
        </row>
        <row r="178">
          <cell r="B178" t="str">
            <v>N</v>
          </cell>
          <cell r="C178">
            <v>48359</v>
          </cell>
          <cell r="D178" t="str">
            <v>NKIT3A</v>
          </cell>
          <cell r="E178" t="str">
            <v>Registration Kit for Supplementary Feeding (Dry)</v>
          </cell>
          <cell r="F178" t="str">
            <v>S</v>
          </cell>
          <cell r="H178">
            <v>212</v>
          </cell>
          <cell r="I178">
            <v>0</v>
          </cell>
          <cell r="J178">
            <v>18</v>
          </cell>
          <cell r="K178">
            <v>7.9523999999999997E-2</v>
          </cell>
          <cell r="L178">
            <v>0</v>
          </cell>
          <cell r="M178">
            <v>0</v>
          </cell>
          <cell r="N178">
            <v>47</v>
          </cell>
          <cell r="O178">
            <v>47</v>
          </cell>
          <cell r="P178">
            <v>36</v>
          </cell>
        </row>
        <row r="179">
          <cell r="B179" t="str">
            <v>N</v>
          </cell>
          <cell r="C179">
            <v>48351</v>
          </cell>
          <cell r="D179" t="str">
            <v>NKIT4</v>
          </cell>
          <cell r="E179" t="str">
            <v>Therapeutic Feeding</v>
          </cell>
          <cell r="F179" t="str">
            <v>S</v>
          </cell>
          <cell r="H179">
            <v>744</v>
          </cell>
          <cell r="I179">
            <v>0</v>
          </cell>
          <cell r="J179">
            <v>107</v>
          </cell>
          <cell r="K179">
            <v>0.85680000000000001</v>
          </cell>
          <cell r="L179">
            <v>0</v>
          </cell>
          <cell r="M179">
            <v>0</v>
          </cell>
          <cell r="N179">
            <v>140</v>
          </cell>
          <cell r="O179">
            <v>68</v>
          </cell>
          <cell r="P179">
            <v>90</v>
          </cell>
        </row>
        <row r="180">
          <cell r="B180" t="str">
            <v>N</v>
          </cell>
          <cell r="C180">
            <v>48359</v>
          </cell>
          <cell r="D180" t="str">
            <v>NKIT4A</v>
          </cell>
          <cell r="E180" t="str">
            <v>Registration Kit for Therapeutic Feeding</v>
          </cell>
          <cell r="F180" t="str">
            <v>S</v>
          </cell>
          <cell r="H180">
            <v>121</v>
          </cell>
          <cell r="I180">
            <v>0</v>
          </cell>
          <cell r="J180">
            <v>22</v>
          </cell>
          <cell r="K180">
            <v>7.9523999999999997E-2</v>
          </cell>
          <cell r="L180">
            <v>0</v>
          </cell>
          <cell r="M180">
            <v>0</v>
          </cell>
          <cell r="N180">
            <v>47</v>
          </cell>
          <cell r="O180">
            <v>47</v>
          </cell>
          <cell r="P180">
            <v>36</v>
          </cell>
        </row>
        <row r="181">
          <cell r="B181" t="str">
            <v>O</v>
          </cell>
          <cell r="C181">
            <v>48199</v>
          </cell>
          <cell r="D181" t="str">
            <v>OB1</v>
          </cell>
          <cell r="E181" t="str">
            <v>Tool Box</v>
          </cell>
          <cell r="F181" t="str">
            <v>S</v>
          </cell>
          <cell r="H181">
            <v>92</v>
          </cell>
          <cell r="I181">
            <v>0</v>
          </cell>
          <cell r="J181">
            <v>28</v>
          </cell>
          <cell r="K181">
            <v>0.16758000000000001</v>
          </cell>
          <cell r="L181">
            <v>0</v>
          </cell>
          <cell r="M181">
            <v>0</v>
          </cell>
          <cell r="N181">
            <v>98</v>
          </cell>
          <cell r="O181">
            <v>38</v>
          </cell>
          <cell r="P181">
            <v>45</v>
          </cell>
        </row>
        <row r="182">
          <cell r="B182" t="str">
            <v>O</v>
          </cell>
          <cell r="C182">
            <v>48199</v>
          </cell>
          <cell r="D182" t="str">
            <v>OB2</v>
          </cell>
          <cell r="E182" t="str">
            <v>Tool Box</v>
          </cell>
          <cell r="F182" t="str">
            <v>S</v>
          </cell>
          <cell r="H182">
            <v>96.43</v>
          </cell>
          <cell r="I182">
            <v>0</v>
          </cell>
          <cell r="J182">
            <v>38</v>
          </cell>
          <cell r="K182">
            <v>0.27348</v>
          </cell>
          <cell r="L182">
            <v>0</v>
          </cell>
          <cell r="M182">
            <v>0</v>
          </cell>
          <cell r="N182">
            <v>86</v>
          </cell>
          <cell r="O182">
            <v>53</v>
          </cell>
          <cell r="P182">
            <v>60</v>
          </cell>
        </row>
        <row r="183">
          <cell r="B183" t="str">
            <v>O</v>
          </cell>
          <cell r="C183">
            <v>48180</v>
          </cell>
          <cell r="D183" t="str">
            <v>OE</v>
          </cell>
          <cell r="E183" t="str">
            <v>Engineers Tool Kit</v>
          </cell>
          <cell r="F183" t="str">
            <v>S</v>
          </cell>
          <cell r="G183">
            <v>1</v>
          </cell>
          <cell r="H183">
            <v>821.45</v>
          </cell>
          <cell r="I183">
            <v>821.45</v>
          </cell>
          <cell r="J183">
            <v>95</v>
          </cell>
          <cell r="K183">
            <v>0.3256</v>
          </cell>
          <cell r="L183">
            <v>95</v>
          </cell>
          <cell r="M183">
            <v>0.3256</v>
          </cell>
          <cell r="N183">
            <v>80</v>
          </cell>
          <cell r="O183">
            <v>55</v>
          </cell>
          <cell r="P183">
            <v>74</v>
          </cell>
        </row>
        <row r="184">
          <cell r="B184" t="str">
            <v>O</v>
          </cell>
          <cell r="C184">
            <v>48239</v>
          </cell>
          <cell r="D184" t="str">
            <v>OL</v>
          </cell>
          <cell r="E184" t="str">
            <v>Ladder for Tank Erection</v>
          </cell>
          <cell r="F184" t="str">
            <v>S</v>
          </cell>
          <cell r="H184">
            <v>62</v>
          </cell>
          <cell r="I184">
            <v>0</v>
          </cell>
          <cell r="J184">
            <v>10</v>
          </cell>
          <cell r="K184">
            <v>0.189</v>
          </cell>
          <cell r="L184">
            <v>0</v>
          </cell>
          <cell r="M184">
            <v>0</v>
          </cell>
          <cell r="N184">
            <v>250</v>
          </cell>
          <cell r="O184">
            <v>42</v>
          </cell>
          <cell r="P184">
            <v>18</v>
          </cell>
        </row>
        <row r="185">
          <cell r="B185" t="str">
            <v>O</v>
          </cell>
          <cell r="C185">
            <v>48181</v>
          </cell>
          <cell r="D185" t="str">
            <v>OM</v>
          </cell>
          <cell r="E185" t="str">
            <v>Mechanics Tool Kit</v>
          </cell>
          <cell r="F185" t="str">
            <v>S</v>
          </cell>
          <cell r="G185">
            <v>1</v>
          </cell>
          <cell r="H185">
            <v>540.97</v>
          </cell>
          <cell r="I185">
            <v>540.97</v>
          </cell>
          <cell r="J185">
            <v>96</v>
          </cell>
          <cell r="K185">
            <v>0.22701199999999999</v>
          </cell>
          <cell r="L185">
            <v>96</v>
          </cell>
          <cell r="M185">
            <v>0.22701199999999999</v>
          </cell>
          <cell r="N185">
            <v>103</v>
          </cell>
          <cell r="O185">
            <v>38</v>
          </cell>
          <cell r="P185">
            <v>58</v>
          </cell>
        </row>
        <row r="186">
          <cell r="B186" t="str">
            <v>O</v>
          </cell>
          <cell r="C186">
            <v>48199</v>
          </cell>
          <cell r="D186" t="str">
            <v>OP2</v>
          </cell>
          <cell r="E186" t="str">
            <v>Container Padlock</v>
          </cell>
          <cell r="F186" t="str">
            <v>S</v>
          </cell>
          <cell r="H186">
            <v>19.559999999999999</v>
          </cell>
          <cell r="I186">
            <v>0</v>
          </cell>
          <cell r="J186">
            <v>0.3</v>
          </cell>
          <cell r="K186">
            <v>1.9999999999999999E-6</v>
          </cell>
          <cell r="L186">
            <v>0</v>
          </cell>
          <cell r="M186">
            <v>0</v>
          </cell>
          <cell r="N186">
            <v>2</v>
          </cell>
          <cell r="O186">
            <v>1</v>
          </cell>
          <cell r="P186">
            <v>1</v>
          </cell>
        </row>
        <row r="187">
          <cell r="B187" t="str">
            <v>O</v>
          </cell>
          <cell r="C187">
            <v>48182</v>
          </cell>
          <cell r="D187" t="str">
            <v>OS</v>
          </cell>
          <cell r="E187" t="str">
            <v>Site Tool Kit</v>
          </cell>
          <cell r="F187" t="str">
            <v>S</v>
          </cell>
          <cell r="G187">
            <v>1</v>
          </cell>
          <cell r="H187">
            <v>555.63</v>
          </cell>
          <cell r="I187">
            <v>555.63</v>
          </cell>
          <cell r="J187">
            <v>78</v>
          </cell>
          <cell r="K187">
            <v>0.18076500000000001</v>
          </cell>
          <cell r="L187">
            <v>78</v>
          </cell>
          <cell r="M187">
            <v>0.18076500000000001</v>
          </cell>
          <cell r="N187">
            <v>45</v>
          </cell>
          <cell r="O187">
            <v>103</v>
          </cell>
          <cell r="P187">
            <v>39</v>
          </cell>
        </row>
        <row r="188">
          <cell r="B188" t="str">
            <v>O</v>
          </cell>
          <cell r="C188">
            <v>48239</v>
          </cell>
          <cell r="D188" t="str">
            <v>OT</v>
          </cell>
          <cell r="E188" t="str">
            <v>Scaffolding Tower</v>
          </cell>
          <cell r="F188" t="str">
            <v>S</v>
          </cell>
          <cell r="H188">
            <v>434</v>
          </cell>
          <cell r="I188">
            <v>0</v>
          </cell>
          <cell r="J188">
            <v>95</v>
          </cell>
          <cell r="K188">
            <v>0.9</v>
          </cell>
          <cell r="L188">
            <v>0</v>
          </cell>
          <cell r="M188">
            <v>0</v>
          </cell>
          <cell r="N188">
            <v>240</v>
          </cell>
          <cell r="O188">
            <v>75</v>
          </cell>
          <cell r="P188">
            <v>50</v>
          </cell>
        </row>
        <row r="189">
          <cell r="B189" t="str">
            <v>P</v>
          </cell>
          <cell r="C189">
            <v>48200</v>
          </cell>
          <cell r="D189" t="str">
            <v>P2-ALLI</v>
          </cell>
          <cell r="E189" t="str">
            <v>2" Atalanta Swallow 2100/Lister AC1 Diesel Pu</v>
          </cell>
          <cell r="F189" t="str">
            <v>S</v>
          </cell>
          <cell r="H189">
            <v>2211.6822999999999</v>
          </cell>
          <cell r="I189">
            <v>0</v>
          </cell>
          <cell r="J189">
            <v>326</v>
          </cell>
          <cell r="K189">
            <v>1.3851</v>
          </cell>
          <cell r="L189">
            <v>0</v>
          </cell>
          <cell r="M189">
            <v>0</v>
          </cell>
          <cell r="N189">
            <v>135</v>
          </cell>
          <cell r="O189">
            <v>76</v>
          </cell>
          <cell r="P189">
            <v>135</v>
          </cell>
        </row>
        <row r="190">
          <cell r="B190" t="str">
            <v>P</v>
          </cell>
          <cell r="C190">
            <v>48200</v>
          </cell>
          <cell r="D190" t="str">
            <v>P4-ALLI</v>
          </cell>
          <cell r="E190" t="str">
            <v>4" Atalanta Ospray 422 Pumpset Kit,Lister TS2</v>
          </cell>
          <cell r="F190" t="str">
            <v>S</v>
          </cell>
          <cell r="H190">
            <v>3548.5951</v>
          </cell>
          <cell r="I190">
            <v>0</v>
          </cell>
          <cell r="J190">
            <v>526</v>
          </cell>
          <cell r="K190">
            <v>2.1695319999999998</v>
          </cell>
          <cell r="L190">
            <v>0</v>
          </cell>
          <cell r="M190">
            <v>0</v>
          </cell>
          <cell r="N190">
            <v>148</v>
          </cell>
          <cell r="O190">
            <v>107</v>
          </cell>
          <cell r="P190">
            <v>137</v>
          </cell>
        </row>
        <row r="191">
          <cell r="B191" t="str">
            <v>P</v>
          </cell>
          <cell r="C191">
            <v>48202</v>
          </cell>
          <cell r="D191" t="str">
            <v>P4-ALLO</v>
          </cell>
          <cell r="E191" t="str">
            <v>4" Atalanta Osprey 452 Lombardini Eng + Hose</v>
          </cell>
          <cell r="F191" t="str">
            <v>N</v>
          </cell>
          <cell r="H191">
            <v>2829</v>
          </cell>
          <cell r="I191">
            <v>0</v>
          </cell>
          <cell r="J191">
            <v>544</v>
          </cell>
          <cell r="K191">
            <v>2.55192</v>
          </cell>
          <cell r="L191">
            <v>0</v>
          </cell>
          <cell r="M191">
            <v>0</v>
          </cell>
          <cell r="N191">
            <v>147</v>
          </cell>
          <cell r="O191">
            <v>124</v>
          </cell>
          <cell r="P191">
            <v>140</v>
          </cell>
        </row>
        <row r="192">
          <cell r="B192" t="str">
            <v>P</v>
          </cell>
          <cell r="C192">
            <v>48200</v>
          </cell>
          <cell r="D192" t="str">
            <v>P4H-PSLI</v>
          </cell>
          <cell r="E192" t="str">
            <v>4" Atalanta Condor 1001 Pumpset Kit Lister</v>
          </cell>
          <cell r="F192" t="str">
            <v>S</v>
          </cell>
          <cell r="H192">
            <v>6172.1</v>
          </cell>
          <cell r="I192">
            <v>0</v>
          </cell>
          <cell r="J192">
            <v>712</v>
          </cell>
          <cell r="K192">
            <v>2.4514</v>
          </cell>
          <cell r="L192">
            <v>0</v>
          </cell>
          <cell r="M192">
            <v>0</v>
          </cell>
          <cell r="N192">
            <v>170</v>
          </cell>
          <cell r="O192">
            <v>103</v>
          </cell>
          <cell r="P192">
            <v>140</v>
          </cell>
        </row>
        <row r="193">
          <cell r="B193" t="str">
            <v>P</v>
          </cell>
          <cell r="C193">
            <v>48202</v>
          </cell>
          <cell r="D193" t="str">
            <v>PE2-LI</v>
          </cell>
          <cell r="E193" t="str">
            <v>Lister AC1 Engine Overhaul Kit</v>
          </cell>
          <cell r="F193" t="str">
            <v>S</v>
          </cell>
          <cell r="H193">
            <v>422.45</v>
          </cell>
          <cell r="I193">
            <v>0</v>
          </cell>
          <cell r="J193">
            <v>8</v>
          </cell>
          <cell r="K193">
            <v>9.8154000000000005E-2</v>
          </cell>
          <cell r="L193">
            <v>0</v>
          </cell>
          <cell r="M193">
            <v>0</v>
          </cell>
          <cell r="N193">
            <v>57</v>
          </cell>
          <cell r="O193">
            <v>41</v>
          </cell>
          <cell r="P193">
            <v>42</v>
          </cell>
        </row>
        <row r="194">
          <cell r="B194" t="str">
            <v>P</v>
          </cell>
          <cell r="C194">
            <v>48202</v>
          </cell>
          <cell r="D194" t="str">
            <v>PE4H-LI</v>
          </cell>
          <cell r="E194" t="str">
            <v>Lister TS3 Engine Overhaul Kit With Agglomerator</v>
          </cell>
          <cell r="F194" t="str">
            <v>S</v>
          </cell>
          <cell r="H194">
            <v>804.95</v>
          </cell>
          <cell r="I194">
            <v>0</v>
          </cell>
          <cell r="J194">
            <v>23</v>
          </cell>
          <cell r="K194">
            <v>8.9913000000000007E-2</v>
          </cell>
          <cell r="L194">
            <v>0</v>
          </cell>
          <cell r="M194">
            <v>0</v>
          </cell>
          <cell r="N194">
            <v>51</v>
          </cell>
          <cell r="O194">
            <v>41</v>
          </cell>
          <cell r="P194">
            <v>43</v>
          </cell>
        </row>
        <row r="195">
          <cell r="B195" t="str">
            <v>P</v>
          </cell>
          <cell r="C195">
            <v>48202</v>
          </cell>
          <cell r="D195" t="str">
            <v>PE4-LI</v>
          </cell>
          <cell r="E195" t="str">
            <v>Lister TS2 Engine Overhaul Kit With Agglomerator</v>
          </cell>
          <cell r="F195" t="str">
            <v>S</v>
          </cell>
          <cell r="H195">
            <v>542.55290000000002</v>
          </cell>
          <cell r="I195">
            <v>0</v>
          </cell>
          <cell r="J195">
            <v>22</v>
          </cell>
          <cell r="K195">
            <v>0.125</v>
          </cell>
          <cell r="L195">
            <v>0</v>
          </cell>
          <cell r="M195">
            <v>0</v>
          </cell>
          <cell r="N195">
            <v>50</v>
          </cell>
          <cell r="O195">
            <v>50</v>
          </cell>
          <cell r="P195">
            <v>50</v>
          </cell>
        </row>
        <row r="196">
          <cell r="B196" t="str">
            <v>P</v>
          </cell>
          <cell r="C196">
            <v>48202</v>
          </cell>
          <cell r="D196" t="str">
            <v>PE4-LO</v>
          </cell>
          <cell r="E196" t="str">
            <v>Lombardini Engine Overhaul Kit</v>
          </cell>
          <cell r="F196" t="str">
            <v>N</v>
          </cell>
          <cell r="H196">
            <v>455.5</v>
          </cell>
          <cell r="I196">
            <v>0</v>
          </cell>
          <cell r="J196">
            <v>16</v>
          </cell>
          <cell r="K196">
            <v>5.1182999999999999E-2</v>
          </cell>
          <cell r="L196">
            <v>0</v>
          </cell>
          <cell r="M196">
            <v>0</v>
          </cell>
          <cell r="N196">
            <v>47</v>
          </cell>
          <cell r="O196">
            <v>33</v>
          </cell>
          <cell r="P196">
            <v>33</v>
          </cell>
        </row>
        <row r="197">
          <cell r="B197" t="str">
            <v>P</v>
          </cell>
          <cell r="C197">
            <v>48202</v>
          </cell>
          <cell r="D197" t="str">
            <v>PF</v>
          </cell>
          <cell r="E197" t="str">
            <v>Pump Fittings Kit</v>
          </cell>
          <cell r="F197" t="str">
            <v>S</v>
          </cell>
          <cell r="H197">
            <v>77.55</v>
          </cell>
          <cell r="I197">
            <v>0</v>
          </cell>
          <cell r="J197">
            <v>10</v>
          </cell>
          <cell r="K197">
            <v>1.9550000000000001E-2</v>
          </cell>
          <cell r="L197">
            <v>0</v>
          </cell>
          <cell r="M197">
            <v>0</v>
          </cell>
          <cell r="N197">
            <v>34</v>
          </cell>
          <cell r="O197">
            <v>25</v>
          </cell>
          <cell r="P197">
            <v>23</v>
          </cell>
        </row>
        <row r="198">
          <cell r="B198" t="str">
            <v>P</v>
          </cell>
          <cell r="C198">
            <v>48201</v>
          </cell>
          <cell r="D198" t="str">
            <v>PO</v>
          </cell>
          <cell r="E198" t="str">
            <v>Pump Oil Kit</v>
          </cell>
          <cell r="F198" t="str">
            <v>S</v>
          </cell>
          <cell r="G198">
            <v>4</v>
          </cell>
          <cell r="H198">
            <v>128.44329999999999</v>
          </cell>
          <cell r="I198">
            <v>513.77319999999997</v>
          </cell>
          <cell r="J198">
            <v>68</v>
          </cell>
          <cell r="K198">
            <v>0.21348400000000001</v>
          </cell>
          <cell r="L198">
            <v>272</v>
          </cell>
          <cell r="M198">
            <v>0.85393600000000003</v>
          </cell>
          <cell r="N198">
            <v>53</v>
          </cell>
          <cell r="O198">
            <v>38</v>
          </cell>
          <cell r="P198">
            <v>106</v>
          </cell>
        </row>
        <row r="199">
          <cell r="B199" t="str">
            <v>P</v>
          </cell>
          <cell r="C199">
            <v>48200</v>
          </cell>
          <cell r="D199" t="str">
            <v>PR2-ALBS</v>
          </cell>
          <cell r="E199" t="str">
            <v>2"Pumpsets Kestrel 101 Brigs + Stratton,</v>
          </cell>
          <cell r="F199" t="str">
            <v>S</v>
          </cell>
          <cell r="H199">
            <v>436.9</v>
          </cell>
          <cell r="I199">
            <v>0</v>
          </cell>
          <cell r="J199">
            <v>52</v>
          </cell>
          <cell r="K199">
            <v>0.24887999999999999</v>
          </cell>
          <cell r="L199">
            <v>0</v>
          </cell>
          <cell r="M199">
            <v>0</v>
          </cell>
          <cell r="N199">
            <v>80</v>
          </cell>
          <cell r="O199">
            <v>51</v>
          </cell>
          <cell r="P199">
            <v>61</v>
          </cell>
        </row>
        <row r="200">
          <cell r="B200" t="str">
            <v>P</v>
          </cell>
          <cell r="C200">
            <v>48202</v>
          </cell>
          <cell r="D200" t="str">
            <v>PRG</v>
          </cell>
          <cell r="E200" t="str">
            <v>Revolution &amp; Frequency Gauge for Measuring Pump RPM</v>
          </cell>
          <cell r="F200" t="str">
            <v>S</v>
          </cell>
          <cell r="H200">
            <v>7.39</v>
          </cell>
          <cell r="I200">
            <v>0</v>
          </cell>
          <cell r="J200">
            <v>0.1</v>
          </cell>
          <cell r="K200">
            <v>5.0000000000000002E-5</v>
          </cell>
          <cell r="L200">
            <v>0</v>
          </cell>
          <cell r="M200">
            <v>0</v>
          </cell>
          <cell r="N200">
            <v>5</v>
          </cell>
          <cell r="O200">
            <v>2</v>
          </cell>
          <cell r="P200">
            <v>5</v>
          </cell>
        </row>
        <row r="201">
          <cell r="B201" t="str">
            <v>P</v>
          </cell>
          <cell r="C201">
            <v>48202</v>
          </cell>
          <cell r="D201" t="str">
            <v>PS2-AL</v>
          </cell>
          <cell r="E201" t="str">
            <v>2" Atalanta Swallow 2100 Pump Major Report Kit</v>
          </cell>
          <cell r="F201" t="str">
            <v>S</v>
          </cell>
          <cell r="H201">
            <v>102.75</v>
          </cell>
          <cell r="I201">
            <v>0</v>
          </cell>
          <cell r="J201">
            <v>3</v>
          </cell>
          <cell r="K201">
            <v>2.7347E-2</v>
          </cell>
          <cell r="L201">
            <v>0</v>
          </cell>
          <cell r="M201">
            <v>0</v>
          </cell>
          <cell r="N201">
            <v>41</v>
          </cell>
          <cell r="O201">
            <v>29</v>
          </cell>
          <cell r="P201">
            <v>23</v>
          </cell>
        </row>
        <row r="202">
          <cell r="B202" t="str">
            <v>P</v>
          </cell>
          <cell r="C202">
            <v>48202</v>
          </cell>
          <cell r="D202" t="str">
            <v>PS4-AL</v>
          </cell>
          <cell r="E202" t="str">
            <v>4" Atalanta Osprey 422/452 Pump Major Repair</v>
          </cell>
          <cell r="F202" t="str">
            <v>S</v>
          </cell>
          <cell r="H202">
            <v>187.33</v>
          </cell>
          <cell r="I202">
            <v>0</v>
          </cell>
          <cell r="J202">
            <v>5</v>
          </cell>
          <cell r="K202">
            <v>2.6818000000000002E-2</v>
          </cell>
          <cell r="L202">
            <v>0</v>
          </cell>
          <cell r="M202">
            <v>0</v>
          </cell>
          <cell r="N202">
            <v>22</v>
          </cell>
          <cell r="O202">
            <v>23</v>
          </cell>
          <cell r="P202">
            <v>53</v>
          </cell>
        </row>
        <row r="203">
          <cell r="B203" t="str">
            <v>P</v>
          </cell>
          <cell r="C203">
            <v>48202</v>
          </cell>
          <cell r="D203" t="str">
            <v>PS4H-PS</v>
          </cell>
          <cell r="E203" t="str">
            <v>4" Atalanta Condor 1001-D275 Pump Major</v>
          </cell>
          <cell r="F203" t="str">
            <v>S</v>
          </cell>
          <cell r="H203">
            <v>702.1</v>
          </cell>
          <cell r="I203">
            <v>0</v>
          </cell>
          <cell r="J203">
            <v>10</v>
          </cell>
          <cell r="K203">
            <v>1.5376000000000001E-2</v>
          </cell>
          <cell r="L203">
            <v>0</v>
          </cell>
          <cell r="M203">
            <v>0</v>
          </cell>
          <cell r="N203">
            <v>31</v>
          </cell>
          <cell r="O203">
            <v>31</v>
          </cell>
          <cell r="P203">
            <v>16</v>
          </cell>
        </row>
        <row r="204">
          <cell r="B204" t="str">
            <v>S</v>
          </cell>
          <cell r="C204">
            <v>48599</v>
          </cell>
          <cell r="D204" t="str">
            <v>SCO</v>
          </cell>
          <cell r="E204" t="str">
            <v>Compass</v>
          </cell>
          <cell r="F204" t="str">
            <v>S</v>
          </cell>
          <cell r="H204">
            <v>9.66</v>
          </cell>
          <cell r="I204">
            <v>0</v>
          </cell>
          <cell r="J204">
            <v>0.1</v>
          </cell>
          <cell r="K204">
            <v>1.5E-5</v>
          </cell>
          <cell r="L204">
            <v>0</v>
          </cell>
          <cell r="M204">
            <v>0</v>
          </cell>
          <cell r="N204">
            <v>3</v>
          </cell>
          <cell r="O204">
            <v>1</v>
          </cell>
          <cell r="P204">
            <v>5</v>
          </cell>
        </row>
        <row r="205">
          <cell r="B205" t="str">
            <v>S</v>
          </cell>
          <cell r="C205">
            <v>48501</v>
          </cell>
          <cell r="D205" t="str">
            <v>SESL</v>
          </cell>
          <cell r="E205" t="str">
            <v>Emergency Family Shelter System</v>
          </cell>
          <cell r="F205" t="str">
            <v>S</v>
          </cell>
          <cell r="H205">
            <v>117.54</v>
          </cell>
          <cell r="I205">
            <v>0</v>
          </cell>
          <cell r="J205">
            <v>44</v>
          </cell>
          <cell r="K205">
            <v>0.2656</v>
          </cell>
          <cell r="L205">
            <v>0</v>
          </cell>
          <cell r="M205">
            <v>0</v>
          </cell>
          <cell r="N205">
            <v>166</v>
          </cell>
          <cell r="O205">
            <v>40</v>
          </cell>
          <cell r="P205">
            <v>40</v>
          </cell>
        </row>
        <row r="206">
          <cell r="B206" t="str">
            <v>S</v>
          </cell>
          <cell r="C206">
            <v>48599</v>
          </cell>
          <cell r="D206" t="str">
            <v>SGPS</v>
          </cell>
          <cell r="E206" t="str">
            <v>GPS (Ground Positioning Station)</v>
          </cell>
          <cell r="F206" t="str">
            <v>S</v>
          </cell>
          <cell r="H206">
            <v>155.24</v>
          </cell>
          <cell r="I206">
            <v>0</v>
          </cell>
          <cell r="J206">
            <v>0.5</v>
          </cell>
          <cell r="K206">
            <v>1.4999999999999999E-4</v>
          </cell>
          <cell r="L206">
            <v>0</v>
          </cell>
          <cell r="M206">
            <v>0</v>
          </cell>
          <cell r="N206">
            <v>5</v>
          </cell>
          <cell r="O206">
            <v>3</v>
          </cell>
          <cell r="P206">
            <v>10</v>
          </cell>
        </row>
        <row r="207">
          <cell r="B207" t="str">
            <v>S</v>
          </cell>
          <cell r="C207">
            <v>48500</v>
          </cell>
          <cell r="D207" t="str">
            <v>SPE-1</v>
          </cell>
          <cell r="E207" t="str">
            <v>Woven Flexible Tarpaulin rolls of 60x4m</v>
          </cell>
          <cell r="F207" t="str">
            <v>S</v>
          </cell>
          <cell r="H207">
            <v>93.62</v>
          </cell>
          <cell r="I207">
            <v>0</v>
          </cell>
          <cell r="J207">
            <v>55</v>
          </cell>
          <cell r="K207">
            <v>0.189</v>
          </cell>
          <cell r="L207">
            <v>0</v>
          </cell>
          <cell r="M207">
            <v>0</v>
          </cell>
          <cell r="N207">
            <v>210</v>
          </cell>
          <cell r="O207">
            <v>30</v>
          </cell>
          <cell r="P207">
            <v>30</v>
          </cell>
        </row>
        <row r="208">
          <cell r="B208" t="str">
            <v>S</v>
          </cell>
          <cell r="C208">
            <v>48500</v>
          </cell>
          <cell r="D208" t="str">
            <v>SR</v>
          </cell>
          <cell r="E208" t="str">
            <v>Poly Rope</v>
          </cell>
          <cell r="F208" t="str">
            <v>S</v>
          </cell>
          <cell r="H208">
            <v>5.9</v>
          </cell>
          <cell r="I208">
            <v>0</v>
          </cell>
          <cell r="J208">
            <v>3</v>
          </cell>
          <cell r="K208">
            <v>8.4639999999999993E-3</v>
          </cell>
          <cell r="L208">
            <v>0</v>
          </cell>
          <cell r="M208">
            <v>0</v>
          </cell>
          <cell r="N208">
            <v>23</v>
          </cell>
          <cell r="O208">
            <v>23</v>
          </cell>
          <cell r="P208">
            <v>16</v>
          </cell>
        </row>
        <row r="209">
          <cell r="B209" t="str">
            <v>T</v>
          </cell>
          <cell r="C209">
            <v>48220</v>
          </cell>
          <cell r="D209" t="str">
            <v>T11</v>
          </cell>
          <cell r="E209" t="str">
            <v>11m3 Complete Tank</v>
          </cell>
          <cell r="F209" t="str">
            <v>S</v>
          </cell>
          <cell r="G209">
            <v>1</v>
          </cell>
          <cell r="H209">
            <v>1236.0121999999999</v>
          </cell>
          <cell r="I209">
            <v>1236.0121999999999</v>
          </cell>
          <cell r="J209">
            <v>344</v>
          </cell>
          <cell r="K209">
            <v>0.98289000000000004</v>
          </cell>
          <cell r="L209">
            <v>344</v>
          </cell>
          <cell r="M209">
            <v>0.98289000000000004</v>
          </cell>
          <cell r="N209">
            <v>163</v>
          </cell>
          <cell r="O209">
            <v>90</v>
          </cell>
          <cell r="P209">
            <v>67</v>
          </cell>
        </row>
        <row r="210">
          <cell r="B210" t="str">
            <v>T</v>
          </cell>
          <cell r="C210">
            <v>48220</v>
          </cell>
          <cell r="D210" t="str">
            <v>T45L</v>
          </cell>
          <cell r="E210" t="str">
            <v>45m3 Tank Liner + Accessories</v>
          </cell>
          <cell r="F210" t="str">
            <v>S</v>
          </cell>
          <cell r="H210">
            <v>1309.9970000000001</v>
          </cell>
          <cell r="I210">
            <v>0</v>
          </cell>
          <cell r="J210">
            <v>233</v>
          </cell>
          <cell r="K210">
            <v>1.176588</v>
          </cell>
          <cell r="L210">
            <v>0</v>
          </cell>
          <cell r="M210">
            <v>0</v>
          </cell>
          <cell r="N210">
            <v>147</v>
          </cell>
          <cell r="O210">
            <v>92</v>
          </cell>
          <cell r="P210">
            <v>87</v>
          </cell>
        </row>
        <row r="211">
          <cell r="B211" t="str">
            <v>T</v>
          </cell>
          <cell r="C211">
            <v>48220</v>
          </cell>
          <cell r="D211" t="str">
            <v>T45R</v>
          </cell>
          <cell r="E211" t="str">
            <v>45m3 Tank Roof</v>
          </cell>
          <cell r="F211" t="str">
            <v>S</v>
          </cell>
          <cell r="H211">
            <v>504.4366</v>
          </cell>
          <cell r="I211">
            <v>0</v>
          </cell>
          <cell r="J211">
            <v>78</v>
          </cell>
          <cell r="K211">
            <v>0.45077699999999998</v>
          </cell>
          <cell r="L211">
            <v>0</v>
          </cell>
          <cell r="M211">
            <v>0</v>
          </cell>
          <cell r="N211">
            <v>139</v>
          </cell>
          <cell r="O211">
            <v>69</v>
          </cell>
          <cell r="P211">
            <v>47</v>
          </cell>
        </row>
        <row r="212">
          <cell r="B212" t="str">
            <v>T</v>
          </cell>
          <cell r="C212">
            <v>48220</v>
          </cell>
          <cell r="D212" t="str">
            <v>T45S</v>
          </cell>
          <cell r="E212" t="str">
            <v>45m3 Tank Steels</v>
          </cell>
          <cell r="F212" t="str">
            <v>S</v>
          </cell>
          <cell r="H212">
            <v>344.12349999999998</v>
          </cell>
          <cell r="I212">
            <v>0</v>
          </cell>
          <cell r="J212">
            <v>266</v>
          </cell>
          <cell r="K212">
            <v>1.46025</v>
          </cell>
          <cell r="L212">
            <v>0</v>
          </cell>
          <cell r="M212">
            <v>0</v>
          </cell>
          <cell r="N212">
            <v>295</v>
          </cell>
          <cell r="O212">
            <v>90</v>
          </cell>
          <cell r="P212">
            <v>55</v>
          </cell>
        </row>
        <row r="213">
          <cell r="B213" t="str">
            <v>T</v>
          </cell>
          <cell r="C213">
            <v>48220</v>
          </cell>
          <cell r="D213" t="str">
            <v>T70L</v>
          </cell>
          <cell r="E213" t="str">
            <v>70m3 Tank Liner &amp; Accessories</v>
          </cell>
          <cell r="F213" t="str">
            <v>S</v>
          </cell>
          <cell r="H213">
            <v>1521.67</v>
          </cell>
          <cell r="I213">
            <v>0</v>
          </cell>
          <cell r="J213">
            <v>257</v>
          </cell>
          <cell r="K213">
            <v>0.83496000000000004</v>
          </cell>
          <cell r="L213">
            <v>0</v>
          </cell>
          <cell r="M213">
            <v>0</v>
          </cell>
          <cell r="N213">
            <v>147</v>
          </cell>
          <cell r="O213">
            <v>71</v>
          </cell>
          <cell r="P213">
            <v>80</v>
          </cell>
        </row>
        <row r="214">
          <cell r="B214" t="str">
            <v>T</v>
          </cell>
          <cell r="C214">
            <v>48220</v>
          </cell>
          <cell r="D214" t="str">
            <v>T70R</v>
          </cell>
          <cell r="E214" t="str">
            <v>70m3 Tank Roof</v>
          </cell>
          <cell r="F214" t="str">
            <v>S</v>
          </cell>
          <cell r="H214">
            <v>518.47</v>
          </cell>
          <cell r="I214">
            <v>0</v>
          </cell>
          <cell r="J214">
            <v>81</v>
          </cell>
          <cell r="K214">
            <v>0.45077699999999998</v>
          </cell>
          <cell r="L214">
            <v>0</v>
          </cell>
          <cell r="M214">
            <v>0</v>
          </cell>
          <cell r="N214">
            <v>139</v>
          </cell>
          <cell r="O214">
            <v>69</v>
          </cell>
          <cell r="P214">
            <v>47</v>
          </cell>
        </row>
        <row r="215">
          <cell r="B215" t="str">
            <v>T</v>
          </cell>
          <cell r="C215">
            <v>48220</v>
          </cell>
          <cell r="D215" t="str">
            <v>T70S</v>
          </cell>
          <cell r="E215" t="str">
            <v>70m3 Tank Steels</v>
          </cell>
          <cell r="F215" t="str">
            <v>S</v>
          </cell>
          <cell r="H215">
            <v>523.31629999999996</v>
          </cell>
          <cell r="I215">
            <v>0</v>
          </cell>
          <cell r="J215">
            <v>360</v>
          </cell>
          <cell r="K215">
            <v>1.3365</v>
          </cell>
          <cell r="L215">
            <v>0</v>
          </cell>
          <cell r="M215">
            <v>0</v>
          </cell>
          <cell r="N215">
            <v>55</v>
          </cell>
          <cell r="O215">
            <v>300</v>
          </cell>
          <cell r="P215">
            <v>81</v>
          </cell>
        </row>
        <row r="216">
          <cell r="B216" t="str">
            <v>T</v>
          </cell>
          <cell r="C216">
            <v>48220</v>
          </cell>
          <cell r="D216" t="str">
            <v>T95L</v>
          </cell>
          <cell r="E216" t="str">
            <v>95m3 Tank Liner &amp; Accessories</v>
          </cell>
          <cell r="F216" t="str">
            <v>S</v>
          </cell>
          <cell r="H216">
            <v>1699.1885</v>
          </cell>
          <cell r="I216">
            <v>0</v>
          </cell>
          <cell r="J216">
            <v>306</v>
          </cell>
          <cell r="K216">
            <v>1.190553</v>
          </cell>
          <cell r="L216">
            <v>0</v>
          </cell>
          <cell r="M216">
            <v>0</v>
          </cell>
          <cell r="N216">
            <v>147</v>
          </cell>
          <cell r="O216">
            <v>91</v>
          </cell>
          <cell r="P216">
            <v>89</v>
          </cell>
        </row>
        <row r="217">
          <cell r="B217" t="str">
            <v>T</v>
          </cell>
          <cell r="C217">
            <v>48220</v>
          </cell>
          <cell r="D217" t="str">
            <v>T95R</v>
          </cell>
          <cell r="E217" t="str">
            <v>95m3 Tank Roof</v>
          </cell>
          <cell r="F217" t="str">
            <v>S</v>
          </cell>
          <cell r="H217">
            <v>531.91</v>
          </cell>
          <cell r="I217">
            <v>0</v>
          </cell>
          <cell r="J217">
            <v>102</v>
          </cell>
          <cell r="K217">
            <v>0.417792</v>
          </cell>
          <cell r="L217">
            <v>0</v>
          </cell>
          <cell r="M217">
            <v>0</v>
          </cell>
          <cell r="N217">
            <v>136</v>
          </cell>
          <cell r="O217">
            <v>64</v>
          </cell>
          <cell r="P217">
            <v>48</v>
          </cell>
        </row>
        <row r="218">
          <cell r="B218" t="str">
            <v>T</v>
          </cell>
          <cell r="C218">
            <v>48220</v>
          </cell>
          <cell r="D218" t="str">
            <v>T95S</v>
          </cell>
          <cell r="E218" t="str">
            <v>95m3 Tank Steels</v>
          </cell>
          <cell r="F218" t="str">
            <v>S</v>
          </cell>
          <cell r="H218">
            <v>593.20000000000005</v>
          </cell>
          <cell r="I218">
            <v>0</v>
          </cell>
          <cell r="J218">
            <v>481</v>
          </cell>
          <cell r="K218">
            <v>1.496556</v>
          </cell>
          <cell r="L218">
            <v>0</v>
          </cell>
          <cell r="M218">
            <v>0</v>
          </cell>
          <cell r="N218">
            <v>298</v>
          </cell>
          <cell r="O218">
            <v>81</v>
          </cell>
          <cell r="P218">
            <v>62</v>
          </cell>
        </row>
        <row r="219">
          <cell r="B219" t="str">
            <v>T</v>
          </cell>
          <cell r="C219">
            <v>48222</v>
          </cell>
          <cell r="D219" t="str">
            <v>TBT10</v>
          </cell>
          <cell r="E219" t="str">
            <v>10m3 Ground Bladder PVC Tank</v>
          </cell>
          <cell r="F219" t="str">
            <v>S</v>
          </cell>
          <cell r="H219">
            <v>675.93389999999999</v>
          </cell>
          <cell r="I219">
            <v>0</v>
          </cell>
          <cell r="J219">
            <v>95</v>
          </cell>
          <cell r="K219">
            <v>0.43874999999999997</v>
          </cell>
          <cell r="L219">
            <v>0</v>
          </cell>
          <cell r="M219">
            <v>0</v>
          </cell>
          <cell r="N219">
            <v>125</v>
          </cell>
          <cell r="O219">
            <v>65</v>
          </cell>
          <cell r="P219">
            <v>54</v>
          </cell>
        </row>
        <row r="220">
          <cell r="B220" t="str">
            <v>T</v>
          </cell>
          <cell r="C220">
            <v>48239</v>
          </cell>
          <cell r="D220" t="str">
            <v>TF</v>
          </cell>
          <cell r="E220" t="str">
            <v>Tank Fittings Kit (needs G3.15 flexible hose)</v>
          </cell>
          <cell r="F220" t="str">
            <v>S</v>
          </cell>
          <cell r="H220">
            <v>347.98</v>
          </cell>
          <cell r="I220">
            <v>0</v>
          </cell>
          <cell r="J220">
            <v>54</v>
          </cell>
          <cell r="K220">
            <v>0.114576</v>
          </cell>
          <cell r="L220">
            <v>0</v>
          </cell>
          <cell r="M220">
            <v>0</v>
          </cell>
          <cell r="N220">
            <v>62</v>
          </cell>
          <cell r="O220">
            <v>42</v>
          </cell>
          <cell r="P220">
            <v>44</v>
          </cell>
        </row>
        <row r="221">
          <cell r="B221" t="str">
            <v>T</v>
          </cell>
          <cell r="C221">
            <v>48220</v>
          </cell>
          <cell r="D221" t="str">
            <v>TMT1</v>
          </cell>
          <cell r="E221" t="str">
            <v>1000L Allibert Tank (Bulk Carrier) 235</v>
          </cell>
          <cell r="F221" t="str">
            <v>N</v>
          </cell>
          <cell r="H221">
            <v>327.60000000000002</v>
          </cell>
          <cell r="I221">
            <v>0</v>
          </cell>
          <cell r="J221">
            <v>180</v>
          </cell>
          <cell r="K221">
            <v>1.9576199999999999</v>
          </cell>
          <cell r="L221">
            <v>0</v>
          </cell>
          <cell r="M221">
            <v>0</v>
          </cell>
          <cell r="N221">
            <v>105</v>
          </cell>
          <cell r="O221">
            <v>158</v>
          </cell>
          <cell r="P221">
            <v>118</v>
          </cell>
        </row>
        <row r="222">
          <cell r="B222" t="str">
            <v>T</v>
          </cell>
          <cell r="C222">
            <v>48220</v>
          </cell>
          <cell r="D222" t="str">
            <v>TMTA</v>
          </cell>
          <cell r="E222" t="str">
            <v>Allibert Tank Adapter</v>
          </cell>
          <cell r="F222" t="str">
            <v>N</v>
          </cell>
          <cell r="H222">
            <v>9</v>
          </cell>
          <cell r="I222">
            <v>0</v>
          </cell>
          <cell r="J222">
            <v>0</v>
          </cell>
          <cell r="K222">
            <v>1.9999999999999999E-6</v>
          </cell>
          <cell r="L222">
            <v>0</v>
          </cell>
          <cell r="M222">
            <v>0</v>
          </cell>
          <cell r="N222">
            <v>2</v>
          </cell>
          <cell r="O222">
            <v>1</v>
          </cell>
          <cell r="P222">
            <v>1</v>
          </cell>
        </row>
        <row r="223">
          <cell r="B223" t="str">
            <v>T</v>
          </cell>
          <cell r="C223">
            <v>48221</v>
          </cell>
          <cell r="D223" t="str">
            <v>TRR30</v>
          </cell>
          <cell r="E223" t="str">
            <v>30m3 Onion PVC Tank</v>
          </cell>
          <cell r="F223" t="str">
            <v>S</v>
          </cell>
          <cell r="H223">
            <v>1682.34</v>
          </cell>
          <cell r="I223">
            <v>0</v>
          </cell>
          <cell r="J223">
            <v>173</v>
          </cell>
          <cell r="K223">
            <v>1.2980799999999999</v>
          </cell>
          <cell r="L223">
            <v>0</v>
          </cell>
          <cell r="M223">
            <v>0</v>
          </cell>
          <cell r="N223">
            <v>95</v>
          </cell>
          <cell r="O223">
            <v>122</v>
          </cell>
          <cell r="P223">
            <v>112</v>
          </cell>
        </row>
        <row r="224">
          <cell r="B224" t="str">
            <v>T</v>
          </cell>
          <cell r="C224">
            <v>48222</v>
          </cell>
          <cell r="D224" t="str">
            <v>TRT6</v>
          </cell>
          <cell r="E224" t="str">
            <v>6m3 Trucking Bladder PVC Tank</v>
          </cell>
          <cell r="F224" t="str">
            <v>S</v>
          </cell>
          <cell r="H224">
            <v>960</v>
          </cell>
          <cell r="I224">
            <v>0</v>
          </cell>
          <cell r="J224">
            <v>90</v>
          </cell>
          <cell r="K224">
            <v>0.462501</v>
          </cell>
          <cell r="L224">
            <v>0</v>
          </cell>
          <cell r="M224">
            <v>0</v>
          </cell>
          <cell r="N224">
            <v>117</v>
          </cell>
          <cell r="O224">
            <v>67</v>
          </cell>
          <cell r="P224">
            <v>59</v>
          </cell>
        </row>
        <row r="225">
          <cell r="B225" t="str">
            <v>T</v>
          </cell>
          <cell r="C225">
            <v>48223</v>
          </cell>
          <cell r="D225" t="str">
            <v>TWC</v>
          </cell>
          <cell r="E225" t="str">
            <v>14 Litre Water Container (Pallet of 200 Units)</v>
          </cell>
          <cell r="F225" t="str">
            <v>S</v>
          </cell>
          <cell r="H225">
            <v>364</v>
          </cell>
          <cell r="I225">
            <v>0</v>
          </cell>
          <cell r="J225">
            <v>196</v>
          </cell>
          <cell r="K225">
            <v>1.32</v>
          </cell>
          <cell r="L225">
            <v>0</v>
          </cell>
          <cell r="M225">
            <v>0</v>
          </cell>
          <cell r="N225">
            <v>120</v>
          </cell>
          <cell r="O225">
            <v>100</v>
          </cell>
          <cell r="P225">
            <v>110</v>
          </cell>
        </row>
        <row r="226">
          <cell r="B226" t="str">
            <v>T</v>
          </cell>
          <cell r="C226">
            <v>48223</v>
          </cell>
          <cell r="D226" t="str">
            <v>TWCT</v>
          </cell>
          <cell r="E226" t="str">
            <v>14 Litre Water Container with Tap (Pallet of 200 Units)</v>
          </cell>
          <cell r="F226" t="str">
            <v>S</v>
          </cell>
          <cell r="H226">
            <v>469</v>
          </cell>
          <cell r="I226">
            <v>0</v>
          </cell>
          <cell r="J226">
            <v>220</v>
          </cell>
          <cell r="K226">
            <v>1.44</v>
          </cell>
          <cell r="L226">
            <v>0</v>
          </cell>
          <cell r="M226">
            <v>0</v>
          </cell>
          <cell r="N226">
            <v>120</v>
          </cell>
          <cell r="O226">
            <v>100</v>
          </cell>
          <cell r="P226">
            <v>120</v>
          </cell>
        </row>
        <row r="227">
          <cell r="B227" t="str">
            <v>V</v>
          </cell>
          <cell r="C227">
            <v>47433</v>
          </cell>
          <cell r="D227" t="str">
            <v>VF</v>
          </cell>
          <cell r="E227" t="str">
            <v>Vehicle Flags</v>
          </cell>
          <cell r="F227" t="str">
            <v>S</v>
          </cell>
          <cell r="H227">
            <v>26.43</v>
          </cell>
          <cell r="I227">
            <v>0</v>
          </cell>
          <cell r="J227">
            <v>0.1</v>
          </cell>
          <cell r="K227">
            <v>9.9999999999999995E-7</v>
          </cell>
          <cell r="L227">
            <v>0</v>
          </cell>
          <cell r="M227">
            <v>0</v>
          </cell>
          <cell r="N227">
            <v>1</v>
          </cell>
          <cell r="O227">
            <v>1</v>
          </cell>
          <cell r="P227">
            <v>1</v>
          </cell>
        </row>
        <row r="228">
          <cell r="B228" t="str">
            <v>V</v>
          </cell>
          <cell r="C228">
            <v>47432</v>
          </cell>
          <cell r="D228" t="str">
            <v>VFA</v>
          </cell>
          <cell r="E228" t="str">
            <v>Vehicle First Aid Kit</v>
          </cell>
          <cell r="F228" t="str">
            <v>S</v>
          </cell>
          <cell r="H228">
            <v>36.630000000000003</v>
          </cell>
          <cell r="I228">
            <v>0</v>
          </cell>
          <cell r="J228">
            <v>1</v>
          </cell>
          <cell r="K228">
            <v>4.2119999999999996E-3</v>
          </cell>
          <cell r="L228">
            <v>0</v>
          </cell>
          <cell r="M228">
            <v>0</v>
          </cell>
          <cell r="N228">
            <v>26</v>
          </cell>
          <cell r="O228">
            <v>18</v>
          </cell>
          <cell r="P228">
            <v>9</v>
          </cell>
        </row>
        <row r="229">
          <cell r="B229" t="str">
            <v>V</v>
          </cell>
          <cell r="C229">
            <v>46102</v>
          </cell>
          <cell r="D229" t="str">
            <v>VHMB</v>
          </cell>
          <cell r="E229" t="str">
            <v>Honda Motorbike for On/Off Road Use</v>
          </cell>
          <cell r="F229" t="str">
            <v>N</v>
          </cell>
          <cell r="H229">
            <v>1810</v>
          </cell>
          <cell r="I229">
            <v>0</v>
          </cell>
          <cell r="J229">
            <v>140</v>
          </cell>
          <cell r="K229">
            <v>0.78959999999999997</v>
          </cell>
          <cell r="L229">
            <v>0</v>
          </cell>
          <cell r="M229">
            <v>0</v>
          </cell>
          <cell r="N229">
            <v>100</v>
          </cell>
          <cell r="O229">
            <v>84</v>
          </cell>
          <cell r="P229">
            <v>94</v>
          </cell>
        </row>
        <row r="230">
          <cell r="B230" t="str">
            <v>V</v>
          </cell>
          <cell r="C230">
            <v>46109</v>
          </cell>
          <cell r="D230" t="str">
            <v>VLB</v>
          </cell>
          <cell r="E230" t="str">
            <v>Vehicle Log Book</v>
          </cell>
          <cell r="F230" t="str">
            <v>S</v>
          </cell>
          <cell r="H230">
            <v>2.7734000000000001</v>
          </cell>
          <cell r="I230">
            <v>0</v>
          </cell>
          <cell r="J230">
            <v>0.1</v>
          </cell>
          <cell r="K230">
            <v>9.9999999999999995E-7</v>
          </cell>
          <cell r="L230">
            <v>0</v>
          </cell>
          <cell r="M230">
            <v>0</v>
          </cell>
          <cell r="N230">
            <v>1</v>
          </cell>
          <cell r="O230">
            <v>1</v>
          </cell>
          <cell r="P230">
            <v>1</v>
          </cell>
        </row>
        <row r="231">
          <cell r="B231" t="str">
            <v>V</v>
          </cell>
          <cell r="C231">
            <v>46104</v>
          </cell>
          <cell r="D231" t="str">
            <v>VLCHT</v>
          </cell>
          <cell r="E231" t="str">
            <v>Standard Toyota Landcruiser Hardtop</v>
          </cell>
          <cell r="F231" t="str">
            <v>N</v>
          </cell>
          <cell r="H231">
            <v>17046</v>
          </cell>
          <cell r="I231">
            <v>0</v>
          </cell>
          <cell r="J231">
            <v>2135</v>
          </cell>
          <cell r="K231">
            <v>17.576000000000001</v>
          </cell>
          <cell r="L231">
            <v>0</v>
          </cell>
          <cell r="M231">
            <v>0</v>
          </cell>
          <cell r="N231">
            <v>500</v>
          </cell>
          <cell r="O231">
            <v>208</v>
          </cell>
          <cell r="P231">
            <v>169</v>
          </cell>
        </row>
        <row r="232">
          <cell r="B232" t="str">
            <v>V</v>
          </cell>
          <cell r="C232">
            <v>46103</v>
          </cell>
          <cell r="D232" t="str">
            <v>VLCPU</v>
          </cell>
          <cell r="E232" t="str">
            <v>Standard Toyota Landcruiser Pickup</v>
          </cell>
          <cell r="F232" t="str">
            <v>N</v>
          </cell>
          <cell r="H232">
            <v>15917</v>
          </cell>
          <cell r="I232">
            <v>0</v>
          </cell>
          <cell r="J232">
            <v>2118</v>
          </cell>
          <cell r="K232">
            <v>15.949712999999999</v>
          </cell>
          <cell r="L232">
            <v>0</v>
          </cell>
          <cell r="M232">
            <v>0</v>
          </cell>
          <cell r="N232">
            <v>489</v>
          </cell>
          <cell r="O232">
            <v>193</v>
          </cell>
          <cell r="P232">
            <v>169</v>
          </cell>
        </row>
        <row r="233">
          <cell r="B233" t="str">
            <v>V</v>
          </cell>
          <cell r="C233">
            <v>46103</v>
          </cell>
          <cell r="D233" t="str">
            <v>VLRPU</v>
          </cell>
          <cell r="E233" t="str">
            <v>Standard Landrover High Capacity Pickup</v>
          </cell>
          <cell r="F233" t="str">
            <v>N</v>
          </cell>
          <cell r="H233">
            <v>13630</v>
          </cell>
          <cell r="I233">
            <v>0</v>
          </cell>
          <cell r="J233">
            <v>1800</v>
          </cell>
          <cell r="K233">
            <v>16.906908000000001</v>
          </cell>
          <cell r="L233">
            <v>0</v>
          </cell>
          <cell r="M233">
            <v>0</v>
          </cell>
          <cell r="N233">
            <v>463</v>
          </cell>
          <cell r="O233">
            <v>204</v>
          </cell>
          <cell r="P233">
            <v>179</v>
          </cell>
        </row>
        <row r="234">
          <cell r="B234" t="str">
            <v>V</v>
          </cell>
          <cell r="C234">
            <v>46103</v>
          </cell>
          <cell r="D234" t="str">
            <v>VLRSA</v>
          </cell>
          <cell r="E234" t="str">
            <v>Land Rover Spares Pack A</v>
          </cell>
          <cell r="F234" t="str">
            <v>N</v>
          </cell>
          <cell r="H234">
            <v>82.88</v>
          </cell>
          <cell r="I234">
            <v>0</v>
          </cell>
          <cell r="J234">
            <v>20</v>
          </cell>
          <cell r="K234">
            <v>0</v>
          </cell>
          <cell r="L234">
            <v>0</v>
          </cell>
          <cell r="M234">
            <v>0</v>
          </cell>
        </row>
        <row r="235">
          <cell r="B235" t="str">
            <v>V</v>
          </cell>
          <cell r="C235">
            <v>46109</v>
          </cell>
          <cell r="D235" t="str">
            <v>VLRSB</v>
          </cell>
          <cell r="E235" t="str">
            <v>Land Rover Spares Pack B</v>
          </cell>
          <cell r="F235" t="str">
            <v>N</v>
          </cell>
          <cell r="H235">
            <v>1214.98</v>
          </cell>
          <cell r="I235">
            <v>0</v>
          </cell>
          <cell r="J235">
            <v>220</v>
          </cell>
          <cell r="K235">
            <v>0.20838400000000001</v>
          </cell>
          <cell r="L235">
            <v>0</v>
          </cell>
          <cell r="M235">
            <v>0</v>
          </cell>
          <cell r="N235">
            <v>74</v>
          </cell>
          <cell r="O235">
            <v>64</v>
          </cell>
          <cell r="P235">
            <v>44</v>
          </cell>
        </row>
        <row r="236">
          <cell r="B236" t="str">
            <v>V</v>
          </cell>
          <cell r="C236">
            <v>46104</v>
          </cell>
          <cell r="D236" t="str">
            <v>VLRSW</v>
          </cell>
          <cell r="E236" t="str">
            <v>Standard Landrover Stationwagon</v>
          </cell>
          <cell r="F236" t="str">
            <v>N</v>
          </cell>
          <cell r="H236">
            <v>14866</v>
          </cell>
          <cell r="I236">
            <v>0</v>
          </cell>
          <cell r="J236">
            <v>1900</v>
          </cell>
          <cell r="K236">
            <v>17.291399999999999</v>
          </cell>
          <cell r="L236">
            <v>0</v>
          </cell>
          <cell r="M236">
            <v>0</v>
          </cell>
          <cell r="N236">
            <v>460</v>
          </cell>
          <cell r="O236">
            <v>210</v>
          </cell>
          <cell r="P236">
            <v>179</v>
          </cell>
        </row>
        <row r="237">
          <cell r="B237" t="str">
            <v>V</v>
          </cell>
          <cell r="C237">
            <v>47433</v>
          </cell>
          <cell r="D237" t="str">
            <v>VOL</v>
          </cell>
          <cell r="E237" t="str">
            <v>Vehicle Sticker Large</v>
          </cell>
          <cell r="F237" t="str">
            <v>S</v>
          </cell>
          <cell r="H237">
            <v>0.76270000000000004</v>
          </cell>
          <cell r="I237">
            <v>0</v>
          </cell>
          <cell r="J237">
            <v>0.1</v>
          </cell>
          <cell r="K237">
            <v>1.1340000000000001E-4</v>
          </cell>
          <cell r="L237">
            <v>0</v>
          </cell>
          <cell r="M237">
            <v>0</v>
          </cell>
          <cell r="N237">
            <v>18</v>
          </cell>
          <cell r="O237">
            <v>63</v>
          </cell>
          <cell r="P237">
            <v>0.1</v>
          </cell>
        </row>
        <row r="238">
          <cell r="B238" t="str">
            <v>V</v>
          </cell>
          <cell r="C238">
            <v>47433</v>
          </cell>
          <cell r="D238" t="str">
            <v>VOS</v>
          </cell>
          <cell r="E238" t="str">
            <v>Vehicle Stickers Small</v>
          </cell>
          <cell r="F238" t="str">
            <v>S</v>
          </cell>
          <cell r="H238">
            <v>0.38</v>
          </cell>
          <cell r="I238">
            <v>0</v>
          </cell>
          <cell r="J238">
            <v>0.1</v>
          </cell>
          <cell r="K238">
            <v>7.9999999999999996E-6</v>
          </cell>
          <cell r="L238">
            <v>0</v>
          </cell>
          <cell r="M238">
            <v>0</v>
          </cell>
          <cell r="N238">
            <v>5</v>
          </cell>
          <cell r="O238">
            <v>16</v>
          </cell>
          <cell r="P238">
            <v>0.1</v>
          </cell>
        </row>
        <row r="239">
          <cell r="B239" t="str">
            <v>V</v>
          </cell>
          <cell r="C239">
            <v>46109</v>
          </cell>
          <cell r="D239" t="str">
            <v>VS</v>
          </cell>
          <cell r="E239" t="str">
            <v>Vehicle Sticker NO GUNS</v>
          </cell>
          <cell r="F239" t="str">
            <v>S</v>
          </cell>
          <cell r="H239">
            <v>1.2</v>
          </cell>
          <cell r="I239">
            <v>0</v>
          </cell>
          <cell r="J239">
            <v>0.1</v>
          </cell>
          <cell r="K239">
            <v>4.0000000000000002E-4</v>
          </cell>
          <cell r="L239">
            <v>0</v>
          </cell>
          <cell r="M239">
            <v>0</v>
          </cell>
          <cell r="N239">
            <v>20</v>
          </cell>
          <cell r="O239">
            <v>20</v>
          </cell>
          <cell r="P239">
            <v>1</v>
          </cell>
        </row>
        <row r="240">
          <cell r="B240" t="str">
            <v>V</v>
          </cell>
          <cell r="C240">
            <v>46109</v>
          </cell>
          <cell r="D240" t="str">
            <v>VT</v>
          </cell>
          <cell r="E240" t="str">
            <v>Vehicle Tool Kit</v>
          </cell>
          <cell r="F240" t="str">
            <v>S</v>
          </cell>
          <cell r="H240">
            <v>230.17</v>
          </cell>
          <cell r="I240">
            <v>0</v>
          </cell>
          <cell r="J240">
            <v>55</v>
          </cell>
          <cell r="K240">
            <v>0.19311600000000001</v>
          </cell>
          <cell r="L240">
            <v>0</v>
          </cell>
          <cell r="M240">
            <v>0</v>
          </cell>
          <cell r="N240">
            <v>133</v>
          </cell>
          <cell r="O240">
            <v>33</v>
          </cell>
          <cell r="P240">
            <v>44</v>
          </cell>
        </row>
        <row r="241">
          <cell r="B241" t="str">
            <v>V</v>
          </cell>
          <cell r="C241">
            <v>46103</v>
          </cell>
          <cell r="D241" t="str">
            <v>VTLCSA</v>
          </cell>
          <cell r="E241" t="str">
            <v>Toyota Land Cruiser (Hard Top) Spares Pack A</v>
          </cell>
          <cell r="F241" t="str">
            <v>N</v>
          </cell>
          <cell r="H241">
            <v>165</v>
          </cell>
          <cell r="I241">
            <v>0</v>
          </cell>
          <cell r="J241">
            <v>20</v>
          </cell>
          <cell r="K241">
            <v>0</v>
          </cell>
          <cell r="L241">
            <v>0</v>
          </cell>
          <cell r="M241">
            <v>0</v>
          </cell>
        </row>
        <row r="242">
          <cell r="B242" t="str">
            <v>V</v>
          </cell>
          <cell r="C242">
            <v>46103</v>
          </cell>
          <cell r="D242" t="str">
            <v>VTLCSB</v>
          </cell>
          <cell r="E242" t="str">
            <v>Toyota Land Cruiser (Hard Top) Spares Pack B</v>
          </cell>
          <cell r="F242" t="str">
            <v>N</v>
          </cell>
          <cell r="H242">
            <v>1000</v>
          </cell>
          <cell r="I242">
            <v>0</v>
          </cell>
          <cell r="J242">
            <v>80</v>
          </cell>
          <cell r="K242">
            <v>0</v>
          </cell>
          <cell r="L242">
            <v>0</v>
          </cell>
          <cell r="M242">
            <v>0</v>
          </cell>
        </row>
        <row r="243">
          <cell r="B243" t="str">
            <v>V</v>
          </cell>
          <cell r="C243">
            <v>46109</v>
          </cell>
          <cell r="D243" t="str">
            <v>VWA</v>
          </cell>
          <cell r="E243" t="str">
            <v>Vehicle Winch Accessories Kit</v>
          </cell>
          <cell r="F243" t="str">
            <v>S</v>
          </cell>
          <cell r="H243">
            <v>104.16</v>
          </cell>
          <cell r="I243">
            <v>0</v>
          </cell>
          <cell r="J243">
            <v>7</v>
          </cell>
          <cell r="K243">
            <v>1.6320000000000001E-2</v>
          </cell>
          <cell r="L243">
            <v>0</v>
          </cell>
          <cell r="M243">
            <v>0</v>
          </cell>
          <cell r="N243">
            <v>34</v>
          </cell>
          <cell r="O243">
            <v>20</v>
          </cell>
          <cell r="P243">
            <v>24</v>
          </cell>
        </row>
        <row r="244">
          <cell r="B244" t="str">
            <v>W</v>
          </cell>
          <cell r="C244">
            <v>48240</v>
          </cell>
          <cell r="D244" t="str">
            <v>WAS</v>
          </cell>
          <cell r="E244" t="str">
            <v>Survey Auger Kit</v>
          </cell>
          <cell r="F244" t="str">
            <v>S</v>
          </cell>
          <cell r="H244">
            <v>2331.06</v>
          </cell>
          <cell r="I244">
            <v>0</v>
          </cell>
          <cell r="J244">
            <v>215</v>
          </cell>
          <cell r="K244">
            <v>0.38400000000000001</v>
          </cell>
          <cell r="L244">
            <v>0</v>
          </cell>
          <cell r="M244">
            <v>0</v>
          </cell>
          <cell r="N244">
            <v>120</v>
          </cell>
          <cell r="O244">
            <v>80</v>
          </cell>
          <cell r="P244">
            <v>40</v>
          </cell>
        </row>
        <row r="245">
          <cell r="B245" t="str">
            <v>W</v>
          </cell>
          <cell r="C245">
            <v>48247</v>
          </cell>
          <cell r="D245" t="str">
            <v>WDHP</v>
          </cell>
          <cell r="E245" t="str">
            <v>Deep Well hand pump</v>
          </cell>
          <cell r="F245" t="str">
            <v>N</v>
          </cell>
          <cell r="H245">
            <v>47.1</v>
          </cell>
          <cell r="I245">
            <v>0</v>
          </cell>
          <cell r="K245">
            <v>0</v>
          </cell>
          <cell r="L245">
            <v>0</v>
          </cell>
          <cell r="M245">
            <v>0</v>
          </cell>
        </row>
        <row r="246">
          <cell r="B246" t="str">
            <v>W</v>
          </cell>
          <cell r="C246">
            <v>47432</v>
          </cell>
          <cell r="D246" t="str">
            <v>WEF</v>
          </cell>
          <cell r="E246" t="str">
            <v>Engineers First Aid Kit</v>
          </cell>
          <cell r="F246" t="str">
            <v>S</v>
          </cell>
          <cell r="H246">
            <v>82.12</v>
          </cell>
          <cell r="I246">
            <v>0</v>
          </cell>
          <cell r="J246">
            <v>6</v>
          </cell>
          <cell r="K246">
            <v>2.6775E-2</v>
          </cell>
          <cell r="L246">
            <v>0</v>
          </cell>
          <cell r="M246">
            <v>0</v>
          </cell>
          <cell r="N246">
            <v>45</v>
          </cell>
          <cell r="O246">
            <v>17</v>
          </cell>
          <cell r="P246">
            <v>35</v>
          </cell>
        </row>
        <row r="247">
          <cell r="B247" t="str">
            <v>W</v>
          </cell>
          <cell r="C247">
            <v>48242</v>
          </cell>
          <cell r="D247" t="str">
            <v>WET</v>
          </cell>
          <cell r="E247" t="str">
            <v>Tool Kit for Well Excavation</v>
          </cell>
          <cell r="F247" t="str">
            <v>S</v>
          </cell>
          <cell r="H247">
            <v>567.5</v>
          </cell>
          <cell r="I247">
            <v>0</v>
          </cell>
          <cell r="J247">
            <v>179</v>
          </cell>
          <cell r="K247">
            <v>0.948708</v>
          </cell>
          <cell r="L247">
            <v>0</v>
          </cell>
          <cell r="M247">
            <v>0</v>
          </cell>
          <cell r="N247">
            <v>146</v>
          </cell>
          <cell r="O247">
            <v>57</v>
          </cell>
          <cell r="P247">
            <v>114</v>
          </cell>
        </row>
        <row r="248">
          <cell r="B248" t="str">
            <v>W</v>
          </cell>
          <cell r="C248">
            <v>48242</v>
          </cell>
          <cell r="D248" t="str">
            <v>WL+P</v>
          </cell>
          <cell r="E248" t="str">
            <v>Hand Dug Well Liner</v>
          </cell>
          <cell r="F248" t="str">
            <v>S</v>
          </cell>
          <cell r="H248">
            <v>965.22</v>
          </cell>
          <cell r="I248">
            <v>0</v>
          </cell>
          <cell r="J248">
            <v>1089</v>
          </cell>
          <cell r="K248">
            <v>1.505952</v>
          </cell>
          <cell r="L248">
            <v>0</v>
          </cell>
          <cell r="M248">
            <v>0</v>
          </cell>
          <cell r="N248">
            <v>166</v>
          </cell>
          <cell r="O248">
            <v>84</v>
          </cell>
          <cell r="P248">
            <v>108</v>
          </cell>
        </row>
        <row r="249">
          <cell r="B249" t="str">
            <v>W</v>
          </cell>
          <cell r="C249">
            <v>48243</v>
          </cell>
          <cell r="D249" t="str">
            <v>WM+P</v>
          </cell>
          <cell r="E249" t="str">
            <v>Well Mould for non + Perforated Concrete Rings</v>
          </cell>
          <cell r="F249" t="str">
            <v>S</v>
          </cell>
          <cell r="H249">
            <v>1315.58</v>
          </cell>
          <cell r="I249">
            <v>0</v>
          </cell>
          <cell r="J249">
            <v>451</v>
          </cell>
          <cell r="K249">
            <v>1.1414759999999999</v>
          </cell>
          <cell r="L249">
            <v>0</v>
          </cell>
          <cell r="M249">
            <v>0</v>
          </cell>
          <cell r="N249">
            <v>127</v>
          </cell>
          <cell r="O249">
            <v>107</v>
          </cell>
          <cell r="P249">
            <v>84</v>
          </cell>
        </row>
        <row r="250">
          <cell r="B250" t="str">
            <v>W</v>
          </cell>
          <cell r="C250">
            <v>48249</v>
          </cell>
          <cell r="D250" t="str">
            <v>WPCS</v>
          </cell>
          <cell r="E250" t="str">
            <v>Compressor service Overall kit</v>
          </cell>
          <cell r="F250" t="str">
            <v>N</v>
          </cell>
          <cell r="H250">
            <v>43.25</v>
          </cell>
          <cell r="I250">
            <v>0</v>
          </cell>
          <cell r="J250">
            <v>1.5</v>
          </cell>
          <cell r="K250">
            <v>5.3999999999999999E-2</v>
          </cell>
          <cell r="L250">
            <v>0</v>
          </cell>
          <cell r="M250">
            <v>0</v>
          </cell>
          <cell r="N250">
            <v>30</v>
          </cell>
          <cell r="O250">
            <v>60</v>
          </cell>
          <cell r="P250">
            <v>30</v>
          </cell>
        </row>
        <row r="251">
          <cell r="B251" t="str">
            <v>W</v>
          </cell>
          <cell r="C251">
            <v>48241</v>
          </cell>
          <cell r="D251" t="str">
            <v>WPCT</v>
          </cell>
          <cell r="E251" t="str">
            <v>Compressor air tools kit</v>
          </cell>
          <cell r="F251" t="str">
            <v>N</v>
          </cell>
          <cell r="I251">
            <v>0</v>
          </cell>
          <cell r="J251">
            <v>200</v>
          </cell>
          <cell r="K251">
            <v>0</v>
          </cell>
          <cell r="L251">
            <v>0</v>
          </cell>
          <cell r="M251">
            <v>0</v>
          </cell>
        </row>
        <row r="252">
          <cell r="B252" t="str">
            <v>W</v>
          </cell>
          <cell r="C252">
            <v>48245</v>
          </cell>
          <cell r="D252" t="str">
            <v>WSDP</v>
          </cell>
          <cell r="E252" t="str">
            <v>Submersible Electrical Dewatering Pump With Gene</v>
          </cell>
          <cell r="F252" t="str">
            <v>S</v>
          </cell>
          <cell r="H252">
            <v>2922</v>
          </cell>
          <cell r="I252">
            <v>0</v>
          </cell>
          <cell r="J252">
            <v>210</v>
          </cell>
          <cell r="K252">
            <v>0.82566399999999995</v>
          </cell>
          <cell r="L252">
            <v>0</v>
          </cell>
          <cell r="M252">
            <v>0</v>
          </cell>
          <cell r="N252">
            <v>112</v>
          </cell>
          <cell r="O252">
            <v>76</v>
          </cell>
          <cell r="P252">
            <v>97</v>
          </cell>
        </row>
        <row r="253">
          <cell r="B253" t="str">
            <v>W</v>
          </cell>
          <cell r="C253">
            <v>48248</v>
          </cell>
          <cell r="D253" t="str">
            <v>WSHP</v>
          </cell>
          <cell r="E253" t="str">
            <v>Shallow Well hand Pump (for well 12 m Maximum)</v>
          </cell>
          <cell r="F253" t="str">
            <v>N</v>
          </cell>
          <cell r="I253">
            <v>0</v>
          </cell>
          <cell r="K253">
            <v>0</v>
          </cell>
          <cell r="L253">
            <v>0</v>
          </cell>
          <cell r="M253">
            <v>0</v>
          </cell>
        </row>
        <row r="254">
          <cell r="B254" t="str">
            <v>W</v>
          </cell>
          <cell r="C254">
            <v>48246</v>
          </cell>
          <cell r="D254" t="str">
            <v>WT6</v>
          </cell>
          <cell r="E254" t="str">
            <v>Well Tripod Kit</v>
          </cell>
          <cell r="F254" t="str">
            <v>S</v>
          </cell>
          <cell r="H254">
            <v>2291.3200000000002</v>
          </cell>
          <cell r="I254">
            <v>0</v>
          </cell>
          <cell r="J254">
            <v>485</v>
          </cell>
          <cell r="K254">
            <v>1.3440000000000001</v>
          </cell>
          <cell r="L254">
            <v>0</v>
          </cell>
          <cell r="M254">
            <v>0</v>
          </cell>
          <cell r="N254">
            <v>280</v>
          </cell>
          <cell r="O254">
            <v>80</v>
          </cell>
          <cell r="P254">
            <v>60</v>
          </cell>
        </row>
        <row r="255">
          <cell r="B255" t="str">
            <v>X</v>
          </cell>
          <cell r="C255">
            <v>48004</v>
          </cell>
          <cell r="D255" t="str">
            <v>XBN</v>
          </cell>
          <cell r="E255" t="str">
            <v>Bale of 100 Impregnated Bednets</v>
          </cell>
          <cell r="F255" t="str">
            <v>S</v>
          </cell>
          <cell r="H255">
            <v>294.63</v>
          </cell>
          <cell r="I255">
            <v>0</v>
          </cell>
          <cell r="J255">
            <v>39</v>
          </cell>
          <cell r="K255">
            <v>0.128</v>
          </cell>
          <cell r="L255">
            <v>0</v>
          </cell>
          <cell r="M255">
            <v>0</v>
          </cell>
          <cell r="N255">
            <v>40</v>
          </cell>
          <cell r="O255">
            <v>40</v>
          </cell>
          <cell r="P255">
            <v>80</v>
          </cell>
        </row>
        <row r="256">
          <cell r="B256" t="str">
            <v>X</v>
          </cell>
          <cell r="C256">
            <v>48005</v>
          </cell>
          <cell r="D256" t="str">
            <v>XFT</v>
          </cell>
          <cell r="E256" t="str">
            <v>Fly Trap (boxes of 50)</v>
          </cell>
          <cell r="F256" t="str">
            <v>S</v>
          </cell>
          <cell r="H256">
            <v>90.5</v>
          </cell>
          <cell r="I256">
            <v>0</v>
          </cell>
          <cell r="J256">
            <v>0</v>
          </cell>
          <cell r="K256">
            <v>0.02</v>
          </cell>
          <cell r="L256">
            <v>0</v>
          </cell>
          <cell r="M256">
            <v>0</v>
          </cell>
          <cell r="N256">
            <v>20</v>
          </cell>
          <cell r="O256">
            <v>50</v>
          </cell>
          <cell r="P256">
            <v>20</v>
          </cell>
        </row>
        <row r="257">
          <cell r="B257" t="str">
            <v>X</v>
          </cell>
          <cell r="C257">
            <v>48004</v>
          </cell>
          <cell r="D257" t="str">
            <v>XI1</v>
          </cell>
          <cell r="E257" t="str">
            <v>Insecticide for Bednet Impregnaton (Delthamethrin)</v>
          </cell>
          <cell r="F257" t="str">
            <v>N</v>
          </cell>
          <cell r="I257">
            <v>0</v>
          </cell>
          <cell r="K257">
            <v>0</v>
          </cell>
          <cell r="L257">
            <v>0</v>
          </cell>
          <cell r="M257">
            <v>0</v>
          </cell>
        </row>
        <row r="258">
          <cell r="B258" t="str">
            <v>X</v>
          </cell>
          <cell r="C258">
            <v>48004</v>
          </cell>
          <cell r="D258" t="str">
            <v>XI3</v>
          </cell>
          <cell r="E258" t="str">
            <v>Insecticide for bednet impregnation Lambda-Cyhalothrin</v>
          </cell>
          <cell r="F258" t="str">
            <v>N</v>
          </cell>
          <cell r="H258">
            <v>380</v>
          </cell>
          <cell r="I258">
            <v>0</v>
          </cell>
          <cell r="J258">
            <v>10</v>
          </cell>
          <cell r="K258">
            <v>2.7E-2</v>
          </cell>
          <cell r="L258">
            <v>0</v>
          </cell>
          <cell r="M258">
            <v>0</v>
          </cell>
          <cell r="N258">
            <v>30</v>
          </cell>
          <cell r="O258">
            <v>30</v>
          </cell>
          <cell r="P258">
            <v>30</v>
          </cell>
        </row>
        <row r="259">
          <cell r="B259" t="str">
            <v>X</v>
          </cell>
          <cell r="C259">
            <v>48005</v>
          </cell>
          <cell r="D259" t="str">
            <v>XRB</v>
          </cell>
          <cell r="E259" t="str">
            <v>25 rubbish disposal bags (1m3) for 2500 people</v>
          </cell>
          <cell r="F259" t="str">
            <v>S</v>
          </cell>
          <cell r="H259">
            <v>123.75</v>
          </cell>
          <cell r="I259">
            <v>0</v>
          </cell>
          <cell r="J259">
            <v>30</v>
          </cell>
          <cell r="K259">
            <v>1.2237499999999999</v>
          </cell>
          <cell r="L259">
            <v>0</v>
          </cell>
          <cell r="M259">
            <v>0</v>
          </cell>
          <cell r="N259">
            <v>89</v>
          </cell>
          <cell r="O259">
            <v>125</v>
          </cell>
          <cell r="P259">
            <v>110</v>
          </cell>
        </row>
        <row r="260">
          <cell r="B260" t="str">
            <v>X</v>
          </cell>
          <cell r="C260">
            <v>48005</v>
          </cell>
          <cell r="D260" t="str">
            <v>XS</v>
          </cell>
          <cell r="E260" t="str">
            <v>Insecticide Sprayer</v>
          </cell>
          <cell r="F260" t="str">
            <v>N</v>
          </cell>
          <cell r="H260">
            <v>66</v>
          </cell>
          <cell r="I260">
            <v>0</v>
          </cell>
          <cell r="J260">
            <v>6</v>
          </cell>
          <cell r="K260">
            <v>4.3091999999999998E-2</v>
          </cell>
          <cell r="L260">
            <v>0</v>
          </cell>
          <cell r="M260">
            <v>0</v>
          </cell>
          <cell r="N260">
            <v>42</v>
          </cell>
          <cell r="O260">
            <v>18</v>
          </cell>
          <cell r="P260">
            <v>57</v>
          </cell>
        </row>
        <row r="261">
          <cell r="B261" t="str">
            <v>X</v>
          </cell>
          <cell r="C261">
            <v>48005</v>
          </cell>
          <cell r="D261" t="str">
            <v>XSM</v>
          </cell>
          <cell r="E261" t="str">
            <v>Insecticide Sprayer</v>
          </cell>
          <cell r="F261" t="str">
            <v>N</v>
          </cell>
          <cell r="H261">
            <v>264</v>
          </cell>
          <cell r="I261">
            <v>0</v>
          </cell>
          <cell r="J261">
            <v>5</v>
          </cell>
          <cell r="K261">
            <v>3.024E-2</v>
          </cell>
          <cell r="L261">
            <v>0</v>
          </cell>
          <cell r="M261">
            <v>0</v>
          </cell>
          <cell r="N261">
            <v>21</v>
          </cell>
          <cell r="O261">
            <v>20</v>
          </cell>
          <cell r="P261">
            <v>72</v>
          </cell>
        </row>
        <row r="262">
          <cell r="B262" t="str">
            <v>X</v>
          </cell>
          <cell r="C262">
            <v>48005</v>
          </cell>
          <cell r="D262" t="str">
            <v>XSO</v>
          </cell>
          <cell r="E262" t="str">
            <v xml:space="preserve">Vector/Chemical SafetyOutfit </v>
          </cell>
          <cell r="F262" t="str">
            <v>N</v>
          </cell>
          <cell r="H262">
            <v>39.840000000000003</v>
          </cell>
          <cell r="I262">
            <v>0</v>
          </cell>
          <cell r="J262">
            <v>6</v>
          </cell>
          <cell r="K262">
            <v>1.2122000000000001E-2</v>
          </cell>
          <cell r="L262">
            <v>0</v>
          </cell>
          <cell r="M262">
            <v>0</v>
          </cell>
          <cell r="N262">
            <v>38</v>
          </cell>
          <cell r="O262">
            <v>29</v>
          </cell>
          <cell r="P262">
            <v>11</v>
          </cell>
        </row>
        <row r="263">
          <cell r="B263" t="str">
            <v>?</v>
          </cell>
          <cell r="E263" t="str">
            <v>90mm mdpe tube 8bar in 6m lengths</v>
          </cell>
          <cell r="G263">
            <v>50</v>
          </cell>
          <cell r="I263">
            <v>0</v>
          </cell>
          <cell r="K263">
            <v>0</v>
          </cell>
          <cell r="L263">
            <v>0</v>
          </cell>
          <cell r="M263">
            <v>0</v>
          </cell>
        </row>
        <row r="264">
          <cell r="B264" t="str">
            <v>?</v>
          </cell>
          <cell r="E264" t="str">
            <v>Cumulative flow meter 4" flanged with flanges</v>
          </cell>
          <cell r="G264">
            <v>5</v>
          </cell>
          <cell r="H264">
            <v>400</v>
          </cell>
          <cell r="I264">
            <v>2000</v>
          </cell>
          <cell r="K264">
            <v>0</v>
          </cell>
          <cell r="L264">
            <v>0</v>
          </cell>
          <cell r="M264">
            <v>0</v>
          </cell>
        </row>
        <row r="265">
          <cell r="B265" t="str">
            <v>?</v>
          </cell>
          <cell r="E265" t="str">
            <v>Grundfos SP14A-25 4" borehole pumps</v>
          </cell>
          <cell r="G265">
            <v>5</v>
          </cell>
          <cell r="H265">
            <v>2415</v>
          </cell>
          <cell r="I265">
            <v>12075</v>
          </cell>
          <cell r="J265">
            <v>200</v>
          </cell>
          <cell r="K265">
            <v>0.3</v>
          </cell>
          <cell r="L265">
            <v>1000</v>
          </cell>
          <cell r="M265">
            <v>1.5</v>
          </cell>
        </row>
        <row r="266">
          <cell r="B266" t="str">
            <v>?</v>
          </cell>
          <cell r="E266" t="str">
            <v xml:space="preserve">P4H PSLI </v>
          </cell>
          <cell r="G266">
            <v>2</v>
          </cell>
          <cell r="I266">
            <v>0</v>
          </cell>
          <cell r="K266">
            <v>0</v>
          </cell>
          <cell r="L266">
            <v>0</v>
          </cell>
          <cell r="M266">
            <v>0</v>
          </cell>
        </row>
        <row r="267">
          <cell r="B267" t="str">
            <v>?</v>
          </cell>
          <cell r="E267" t="str">
            <v>45 kVA generators 3 phase with Perkins engines or equivalent</v>
          </cell>
          <cell r="G267">
            <v>3</v>
          </cell>
          <cell r="H267">
            <v>6000</v>
          </cell>
          <cell r="I267">
            <v>18000</v>
          </cell>
          <cell r="J267">
            <v>2000</v>
          </cell>
          <cell r="K267">
            <v>4</v>
          </cell>
          <cell r="L267">
            <v>6000</v>
          </cell>
          <cell r="M267">
            <v>12</v>
          </cell>
        </row>
        <row r="268">
          <cell r="B268" t="str">
            <v>?</v>
          </cell>
          <cell r="E268" t="str">
            <v xml:space="preserve">Control panels for SP14A-25 pumps </v>
          </cell>
          <cell r="G268">
            <v>3</v>
          </cell>
          <cell r="H268">
            <v>1000</v>
          </cell>
          <cell r="I268">
            <v>3000</v>
          </cell>
          <cell r="K268">
            <v>0</v>
          </cell>
          <cell r="L268">
            <v>0</v>
          </cell>
          <cell r="M268">
            <v>0</v>
          </cell>
        </row>
        <row r="269">
          <cell r="B269" t="str">
            <v>?</v>
          </cell>
          <cell r="E269" t="str">
            <v>Electrical dippers 100m</v>
          </cell>
          <cell r="G269">
            <v>3</v>
          </cell>
          <cell r="H269">
            <v>200</v>
          </cell>
          <cell r="I269">
            <v>600</v>
          </cell>
          <cell r="K269">
            <v>0</v>
          </cell>
          <cell r="L269">
            <v>0</v>
          </cell>
          <cell r="M269">
            <v>0</v>
          </cell>
        </row>
        <row r="270">
          <cell r="B270" t="str">
            <v>?</v>
          </cell>
          <cell r="E270" t="str">
            <v>Cumulative flow meter 2" flanged with 2" BSPF flanges</v>
          </cell>
          <cell r="G270">
            <v>5</v>
          </cell>
          <cell r="H270">
            <v>200</v>
          </cell>
          <cell r="I270">
            <v>1000</v>
          </cell>
          <cell r="K270">
            <v>0</v>
          </cell>
          <cell r="L270">
            <v>0</v>
          </cell>
          <cell r="M270">
            <v>0</v>
          </cell>
        </row>
        <row r="271">
          <cell r="B271" t="str">
            <v>?</v>
          </cell>
          <cell r="E271" t="str">
            <v>Armoured cable 4 core 6mm diameter 600m</v>
          </cell>
          <cell r="G271">
            <v>1</v>
          </cell>
          <cell r="H271">
            <v>2000</v>
          </cell>
          <cell r="I271">
            <v>2000</v>
          </cell>
          <cell r="J271">
            <v>0.5</v>
          </cell>
          <cell r="K271">
            <v>0.5</v>
          </cell>
          <cell r="L271">
            <v>0.5</v>
          </cell>
          <cell r="M271">
            <v>0.5</v>
          </cell>
        </row>
        <row r="272">
          <cell r="B272" t="str">
            <v>?</v>
          </cell>
          <cell r="E272" t="str">
            <v>Armoured cable 4 core 4mm diameter 300</v>
          </cell>
          <cell r="G272">
            <v>1</v>
          </cell>
          <cell r="H272">
            <v>1000</v>
          </cell>
          <cell r="I272">
            <v>1000</v>
          </cell>
          <cell r="J272">
            <v>0.2</v>
          </cell>
          <cell r="K272">
            <v>0.3</v>
          </cell>
          <cell r="L272">
            <v>0.2</v>
          </cell>
          <cell r="M272">
            <v>0.3</v>
          </cell>
        </row>
      </sheetData>
      <sheetData sheetId="4" refreshError="1"/>
      <sheetData sheetId="5" refreshError="1"/>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laints and Feedback DB"/>
      <sheetName val="Dash Board"/>
      <sheetName val="Complaint Log"/>
    </sheetNames>
    <definedNames>
      <definedName name="Produce_Invoice" refersTo="#REF!"/>
      <definedName name="See_all_items" refersTo="#REF!"/>
      <definedName name="zzzzzzzzzzzzzzzzzzzz" refersTo="#REF!"/>
    </defined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F424"/>
      <sheetName val="SF424A"/>
      <sheetName val="Summary"/>
      <sheetName val="Budget Line Item"/>
      <sheetName val="Fringes"/>
      <sheetName val="Sub-Grant Summary"/>
      <sheetName val="Sub-Grant Budget Line Item"/>
      <sheetName val="Sub-Grant Fringes"/>
      <sheetName val="OFDA CP Budget final 170907 sub"/>
      <sheetName val="Budget_Line_Item"/>
      <sheetName val="Sub-Grant_Summary"/>
      <sheetName val="Sub-Grant_Budget_Line_Item"/>
      <sheetName val="Sub-Grant_Fringes"/>
      <sheetName val="project"/>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 General"/>
      <sheetName val="1. Project summary"/>
      <sheetName val="2. Logframe"/>
      <sheetName val="3. Timeline"/>
      <sheetName val="4. Org Chart"/>
      <sheetName val="5. Budget"/>
      <sheetName val="5.1 Budget partners"/>
      <sheetName val="6. Procurement Plan"/>
      <sheetName val="7. Checklist"/>
      <sheetName val="Instructions Monitoring"/>
      <sheetName val="1.Activity"/>
      <sheetName val="2. Indicators Monitoring"/>
      <sheetName val="3.Assumptions Monitoring"/>
      <sheetName val="4.Beneficiaries Follow Up"/>
    </sheetNames>
    <sheetDataSet>
      <sheetData sheetId="0">
        <row r="2">
          <cell r="B2">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ssment list"/>
      <sheetName val="Scoring database II. (2)"/>
      <sheetName val="Scoring Base input"/>
      <sheetName val="Scoring YK"/>
      <sheetName val="SCORING KEY II."/>
      <sheetName val="PHC List"/>
      <sheetName val="DATA"/>
      <sheetName val="Scoring database II."/>
      <sheetName val="Disputed area_PUI sites"/>
    </sheetNames>
    <sheetDataSet>
      <sheetData sheetId="0"/>
      <sheetData sheetId="1"/>
      <sheetData sheetId="2">
        <row r="7">
          <cell r="A7" t="str">
            <v>Assessment/ Site number code</v>
          </cell>
          <cell r="B7" t="str">
            <v># of HHs</v>
          </cell>
          <cell r="C7" t="str">
            <v># of individuals</v>
          </cell>
          <cell r="D7" t="str">
            <v># of new arrivals (last month)/ HHs</v>
          </cell>
          <cell r="E7" t="str">
            <v># of children under 5</v>
          </cell>
          <cell r="F7" t="str">
            <v>% of children under 5</v>
          </cell>
          <cell r="G7" t="str">
            <v># of females</v>
          </cell>
          <cell r="H7" t="str">
            <v>% of females</v>
          </cell>
          <cell r="I7" t="str">
            <v># of pregnant women</v>
          </cell>
          <cell r="J7" t="str">
            <v>% of pregnant women</v>
          </cell>
          <cell r="K7" t="str">
            <v># of female-headed HHs</v>
          </cell>
          <cell r="L7" t="str">
            <v>% of female-headed HHs</v>
          </cell>
          <cell r="M7" t="str">
            <v># of persons with disability</v>
          </cell>
          <cell r="N7" t="str">
            <v>Water source/s available?</v>
          </cell>
          <cell r="O7" t="str">
            <v>Safe water?</v>
          </cell>
          <cell r="P7" t="str">
            <v>Availability of toilets?</v>
          </cell>
          <cell r="Q7" t="str">
            <v># of toilets per location/shelter</v>
          </cell>
          <cell r="R7" t="str">
            <v># indi/toil</v>
          </cell>
          <cell r="S7" t="str">
            <v xml:space="preserve">Availability of desludging services? </v>
          </cell>
          <cell r="T7" t="str">
            <v>Availability of showers cubicle?</v>
          </cell>
          <cell r="U7" t="str">
            <v>Availability of garbage management?</v>
          </cell>
          <cell r="V7" t="str">
            <v>Food distribution card?</v>
          </cell>
          <cell r="W7" t="str">
            <v xml:space="preserve">Food parcel received during last month? </v>
          </cell>
          <cell r="X7" t="str">
            <v>Location/shelter protected against rain?</v>
          </cell>
          <cell r="Y7" t="str">
            <v>Availability of core NFIs?</v>
          </cell>
          <cell r="Z7">
            <v>0</v>
          </cell>
          <cell r="AA7">
            <v>0</v>
          </cell>
          <cell r="AB7" t="str">
            <v># of childhood diseases cases for children &lt; 5 years</v>
          </cell>
          <cell r="AC7" t="str">
            <v>% of childhood diseases cases for children &lt; 5 years/#Child U5</v>
          </cell>
          <cell r="AD7" t="str">
            <v># of women in risk pregnancy</v>
          </cell>
          <cell r="AE7" t="str">
            <v>% of women in risk pregnancy/Preg. Women</v>
          </cell>
          <cell r="AF7" t="str">
            <v xml:space="preserve"># of Diabetes cases </v>
          </cell>
          <cell r="AG7" t="str">
            <v xml:space="preserve">% of Diabetes cases/indi </v>
          </cell>
          <cell r="AH7" t="str">
            <v xml:space="preserve"># of Hypertension cases </v>
          </cell>
          <cell r="AI7" t="str">
            <v>% of Hypertension cases/ Indi</v>
          </cell>
          <cell r="AJ7" t="str">
            <v># of persons with Psychosocial distress</v>
          </cell>
          <cell r="AK7" t="str">
            <v>% of persons with Psychosocial distress/indi</v>
          </cell>
          <cell r="AL7" t="str">
            <v>Distance to nearest  health facility/KM</v>
          </cell>
          <cell r="AM7" t="str">
            <v xml:space="preserve">Access to health facility/services? </v>
          </cell>
          <cell r="AN7" t="str">
            <v>Limiting factors to healthcare access?</v>
          </cell>
          <cell r="AO7" t="str">
            <v>Vaccination card?</v>
          </cell>
          <cell r="AP7" t="str">
            <v>Access to P/ANC?</v>
          </cell>
          <cell r="AQ7" t="str">
            <v xml:space="preserve">Ante-natal card? </v>
          </cell>
          <cell r="AR7" t="str">
            <v>Course of action when someone falls ill</v>
          </cell>
          <cell r="AS7" t="str">
            <v>Regular visit of health facilities considered as important for health?</v>
          </cell>
          <cell r="AT7">
            <v>0</v>
          </cell>
          <cell r="AU7">
            <v>0</v>
          </cell>
          <cell r="AV7">
            <v>0</v>
          </cell>
        </row>
        <row r="8">
          <cell r="A8" t="str">
            <v>Khalidiya/ Husaibah Al-Sharqiah</v>
          </cell>
          <cell r="B8">
            <v>3109</v>
          </cell>
          <cell r="C8">
            <v>18654</v>
          </cell>
          <cell r="D8">
            <v>8</v>
          </cell>
          <cell r="E8">
            <v>891</v>
          </cell>
          <cell r="F8">
            <v>4.7764554519137983E-2</v>
          </cell>
          <cell r="G8">
            <v>1480</v>
          </cell>
          <cell r="H8">
            <v>7.9339551838747718E-2</v>
          </cell>
          <cell r="I8">
            <v>311</v>
          </cell>
          <cell r="J8">
            <v>0.21013513513513513</v>
          </cell>
          <cell r="K8">
            <v>622</v>
          </cell>
          <cell r="L8">
            <v>0.20006432936635574</v>
          </cell>
          <cell r="M8">
            <v>207</v>
          </cell>
          <cell r="N8" t="str">
            <v>Pipe water (public network)</v>
          </cell>
          <cell r="O8" t="str">
            <v>Yes</v>
          </cell>
          <cell r="P8" t="str">
            <v>Yes</v>
          </cell>
          <cell r="Q8">
            <v>1650</v>
          </cell>
          <cell r="R8">
            <v>11</v>
          </cell>
          <cell r="S8" t="str">
            <v>Yes</v>
          </cell>
          <cell r="T8" t="str">
            <v>Yes</v>
          </cell>
          <cell r="U8" t="str">
            <v>No</v>
          </cell>
          <cell r="V8" t="str">
            <v>yes</v>
          </cell>
          <cell r="W8" t="str">
            <v>NO</v>
          </cell>
          <cell r="X8" t="str">
            <v>yes</v>
          </cell>
          <cell r="Y8" t="str">
            <v>NO</v>
          </cell>
          <cell r="Z8">
            <v>0</v>
          </cell>
          <cell r="AA8">
            <v>0</v>
          </cell>
          <cell r="AB8">
            <v>223</v>
          </cell>
          <cell r="AC8">
            <v>0.25028058361391697</v>
          </cell>
          <cell r="AD8">
            <v>156</v>
          </cell>
          <cell r="AE8">
            <v>0.50160771704180063</v>
          </cell>
          <cell r="AF8">
            <v>2277</v>
          </cell>
          <cell r="AG8">
            <v>0.1220649726600193</v>
          </cell>
          <cell r="AH8">
            <v>2122</v>
          </cell>
          <cell r="AI8">
            <v>0.11375576283906937</v>
          </cell>
          <cell r="AJ8">
            <v>778</v>
          </cell>
          <cell r="AK8">
            <v>4.1706872520639003E-2</v>
          </cell>
          <cell r="AL8">
            <v>0.8</v>
          </cell>
          <cell r="AM8" t="str">
            <v>Yes</v>
          </cell>
          <cell r="AN8" t="str">
            <v>yes</v>
          </cell>
          <cell r="AO8" t="str">
            <v>Yes</v>
          </cell>
          <cell r="AP8" t="str">
            <v>No</v>
          </cell>
          <cell r="AQ8" t="str">
            <v>No</v>
          </cell>
          <cell r="AR8" t="str">
            <v>Go to DoH health facilities (hospital and PHC)</v>
          </cell>
          <cell r="AS8" t="str">
            <v>No</v>
          </cell>
          <cell r="AT8">
            <v>0</v>
          </cell>
          <cell r="AU8">
            <v>0</v>
          </cell>
          <cell r="AV8">
            <v>0</v>
          </cell>
        </row>
        <row r="9">
          <cell r="A9" t="str">
            <v xml:space="preserve">Ramadi/Al Soora </v>
          </cell>
          <cell r="B9">
            <v>100</v>
          </cell>
          <cell r="C9">
            <v>600</v>
          </cell>
          <cell r="D9">
            <v>0</v>
          </cell>
          <cell r="E9">
            <v>172</v>
          </cell>
          <cell r="F9">
            <v>0.28666666666666668</v>
          </cell>
          <cell r="G9">
            <v>286</v>
          </cell>
          <cell r="H9">
            <v>0.47666666666666668</v>
          </cell>
          <cell r="I9">
            <v>10</v>
          </cell>
          <cell r="J9">
            <v>3.4965034965034968E-2</v>
          </cell>
          <cell r="K9">
            <v>20</v>
          </cell>
          <cell r="L9">
            <v>0.2</v>
          </cell>
          <cell r="M9">
            <v>5</v>
          </cell>
          <cell r="N9" t="str">
            <v>Pipe water (public network)</v>
          </cell>
          <cell r="O9" t="str">
            <v>Yes</v>
          </cell>
          <cell r="P9" t="str">
            <v>Yes</v>
          </cell>
          <cell r="Q9">
            <v>75</v>
          </cell>
          <cell r="R9">
            <v>8</v>
          </cell>
          <cell r="S9" t="str">
            <v>Yes</v>
          </cell>
          <cell r="T9" t="str">
            <v>Yes</v>
          </cell>
          <cell r="U9" t="str">
            <v>Yes</v>
          </cell>
          <cell r="V9" t="str">
            <v>yes</v>
          </cell>
          <cell r="W9" t="str">
            <v>NO</v>
          </cell>
          <cell r="X9" t="str">
            <v>yes</v>
          </cell>
          <cell r="Y9" t="str">
            <v>NO</v>
          </cell>
          <cell r="Z9">
            <v>0</v>
          </cell>
          <cell r="AA9">
            <v>0</v>
          </cell>
          <cell r="AB9">
            <v>43</v>
          </cell>
          <cell r="AC9">
            <v>0.25</v>
          </cell>
          <cell r="AD9">
            <v>5</v>
          </cell>
          <cell r="AE9">
            <v>0.5</v>
          </cell>
          <cell r="AF9">
            <v>80</v>
          </cell>
          <cell r="AG9">
            <v>0.13333333333333333</v>
          </cell>
          <cell r="AH9">
            <v>46</v>
          </cell>
          <cell r="AI9">
            <v>7.6666666666666661E-2</v>
          </cell>
          <cell r="AJ9">
            <v>25</v>
          </cell>
          <cell r="AK9">
            <v>4.1666666666666664E-2</v>
          </cell>
          <cell r="AL9">
            <v>1</v>
          </cell>
          <cell r="AM9" t="str">
            <v>Yes</v>
          </cell>
          <cell r="AN9" t="str">
            <v>yes</v>
          </cell>
          <cell r="AO9" t="str">
            <v>Yes</v>
          </cell>
          <cell r="AP9" t="str">
            <v>Partially</v>
          </cell>
          <cell r="AQ9" t="str">
            <v>Yes</v>
          </cell>
          <cell r="AR9" t="str">
            <v>Go to DoH health facilities (hospital and PHC)</v>
          </cell>
          <cell r="AS9" t="str">
            <v>No</v>
          </cell>
          <cell r="AT9">
            <v>0</v>
          </cell>
          <cell r="AU9">
            <v>0</v>
          </cell>
          <cell r="AV9">
            <v>0</v>
          </cell>
        </row>
        <row r="10">
          <cell r="A10" t="str">
            <v>Ramadi /Albu Alwan</v>
          </cell>
          <cell r="B10">
            <v>900</v>
          </cell>
          <cell r="C10">
            <v>5400</v>
          </cell>
          <cell r="D10">
            <v>25</v>
          </cell>
          <cell r="E10">
            <v>1548</v>
          </cell>
          <cell r="F10">
            <v>0.28666666666666668</v>
          </cell>
          <cell r="G10">
            <v>2571</v>
          </cell>
          <cell r="H10">
            <v>0.4761111111111111</v>
          </cell>
          <cell r="I10">
            <v>35</v>
          </cell>
          <cell r="J10">
            <v>1.3613380007779074E-2</v>
          </cell>
          <cell r="K10">
            <v>30</v>
          </cell>
          <cell r="L10">
            <v>3.3333333333333333E-2</v>
          </cell>
          <cell r="M10">
            <v>20</v>
          </cell>
          <cell r="N10" t="str">
            <v>Pipe water (public network)</v>
          </cell>
          <cell r="O10" t="str">
            <v>Yes</v>
          </cell>
          <cell r="P10" t="str">
            <v>Yes</v>
          </cell>
          <cell r="Q10">
            <v>600</v>
          </cell>
          <cell r="R10">
            <v>9</v>
          </cell>
          <cell r="S10" t="str">
            <v>Yes</v>
          </cell>
          <cell r="T10" t="str">
            <v>Yes</v>
          </cell>
          <cell r="U10" t="str">
            <v>Yes</v>
          </cell>
          <cell r="V10" t="str">
            <v>yes</v>
          </cell>
          <cell r="W10" t="str">
            <v>yes</v>
          </cell>
          <cell r="X10" t="str">
            <v>yes</v>
          </cell>
          <cell r="Y10" t="str">
            <v>NO</v>
          </cell>
          <cell r="Z10">
            <v>0</v>
          </cell>
          <cell r="AA10">
            <v>0</v>
          </cell>
          <cell r="AB10">
            <v>200</v>
          </cell>
          <cell r="AC10">
            <v>0.12919896640826872</v>
          </cell>
          <cell r="AD10">
            <v>17</v>
          </cell>
          <cell r="AE10">
            <v>0.48571428571428571</v>
          </cell>
          <cell r="AF10">
            <v>600</v>
          </cell>
          <cell r="AG10">
            <v>0.1111111111111111</v>
          </cell>
          <cell r="AH10">
            <v>450</v>
          </cell>
          <cell r="AI10">
            <v>8.3333333333333329E-2</v>
          </cell>
          <cell r="AJ10">
            <v>100</v>
          </cell>
          <cell r="AK10">
            <v>1.8518518518518517E-2</v>
          </cell>
          <cell r="AL10">
            <v>0.5</v>
          </cell>
          <cell r="AM10" t="str">
            <v>Yes</v>
          </cell>
          <cell r="AN10" t="str">
            <v>yes</v>
          </cell>
          <cell r="AO10" t="str">
            <v>Yes</v>
          </cell>
          <cell r="AP10" t="str">
            <v>Yes</v>
          </cell>
          <cell r="AQ10" t="str">
            <v>Yes</v>
          </cell>
          <cell r="AR10" t="str">
            <v>Go to DoH health facilities (hospital and PHC)</v>
          </cell>
          <cell r="AS10" t="str">
            <v>No</v>
          </cell>
          <cell r="AT10">
            <v>0</v>
          </cell>
          <cell r="AU10">
            <v>0</v>
          </cell>
          <cell r="AV10">
            <v>0</v>
          </cell>
        </row>
        <row r="11">
          <cell r="A11" t="str">
            <v>Ramadi /Al Shereka</v>
          </cell>
          <cell r="B11">
            <v>300</v>
          </cell>
          <cell r="C11">
            <v>1800</v>
          </cell>
          <cell r="D11">
            <v>2</v>
          </cell>
          <cell r="E11">
            <v>516</v>
          </cell>
          <cell r="F11">
            <v>0.28666666666666668</v>
          </cell>
          <cell r="G11">
            <v>857</v>
          </cell>
          <cell r="H11">
            <v>0.4761111111111111</v>
          </cell>
          <cell r="I11">
            <v>10</v>
          </cell>
          <cell r="J11">
            <v>1.1668611435239206E-2</v>
          </cell>
          <cell r="K11">
            <v>25</v>
          </cell>
          <cell r="L11">
            <v>8.3333333333333329E-2</v>
          </cell>
          <cell r="M11">
            <v>40</v>
          </cell>
          <cell r="N11" t="str">
            <v>Pipe water (public network)</v>
          </cell>
          <cell r="O11" t="str">
            <v>Yes</v>
          </cell>
          <cell r="P11" t="str">
            <v>Yes</v>
          </cell>
          <cell r="Q11">
            <v>130</v>
          </cell>
          <cell r="R11">
            <v>14</v>
          </cell>
          <cell r="S11" t="str">
            <v>Yes</v>
          </cell>
          <cell r="T11" t="str">
            <v>Yes</v>
          </cell>
          <cell r="U11" t="str">
            <v>Yes</v>
          </cell>
          <cell r="V11" t="str">
            <v>yes</v>
          </cell>
          <cell r="W11" t="str">
            <v>NO</v>
          </cell>
          <cell r="X11" t="str">
            <v>yes</v>
          </cell>
          <cell r="Y11" t="str">
            <v>NO</v>
          </cell>
          <cell r="Z11">
            <v>0</v>
          </cell>
          <cell r="AA11">
            <v>0</v>
          </cell>
          <cell r="AB11">
            <v>120</v>
          </cell>
          <cell r="AC11">
            <v>0.23255813953488372</v>
          </cell>
          <cell r="AD11">
            <v>9</v>
          </cell>
          <cell r="AE11">
            <v>0.9</v>
          </cell>
          <cell r="AF11">
            <v>100</v>
          </cell>
          <cell r="AG11">
            <v>5.5555555555555552E-2</v>
          </cell>
          <cell r="AH11">
            <v>120</v>
          </cell>
          <cell r="AI11">
            <v>6.6666666666666666E-2</v>
          </cell>
          <cell r="AJ11">
            <v>35</v>
          </cell>
          <cell r="AK11">
            <v>1.9444444444444445E-2</v>
          </cell>
          <cell r="AL11">
            <v>1</v>
          </cell>
          <cell r="AM11" t="str">
            <v>Yes</v>
          </cell>
          <cell r="AN11" t="str">
            <v>yes</v>
          </cell>
          <cell r="AO11" t="str">
            <v>Yes</v>
          </cell>
          <cell r="AP11" t="str">
            <v>Yes</v>
          </cell>
          <cell r="AQ11" t="str">
            <v>No</v>
          </cell>
          <cell r="AR11" t="str">
            <v>Go to DoH health facilities (hospital and PHC)</v>
          </cell>
          <cell r="AS11" t="str">
            <v>No</v>
          </cell>
          <cell r="AT11">
            <v>0</v>
          </cell>
          <cell r="AU11">
            <v>0</v>
          </cell>
          <cell r="AV11">
            <v>0</v>
          </cell>
        </row>
        <row r="12">
          <cell r="A12" t="str">
            <v>Ramadi /Al Jamiya</v>
          </cell>
          <cell r="B12">
            <v>280</v>
          </cell>
          <cell r="C12">
            <v>1680</v>
          </cell>
          <cell r="D12">
            <v>0</v>
          </cell>
          <cell r="E12">
            <v>482</v>
          </cell>
          <cell r="F12">
            <v>0.28690476190476188</v>
          </cell>
          <cell r="G12">
            <v>800</v>
          </cell>
          <cell r="H12">
            <v>0.47619047619047616</v>
          </cell>
          <cell r="I12">
            <v>17</v>
          </cell>
          <cell r="J12">
            <v>2.1250000000000002E-2</v>
          </cell>
          <cell r="K12">
            <v>70</v>
          </cell>
          <cell r="L12">
            <v>0.25</v>
          </cell>
          <cell r="M12">
            <v>11</v>
          </cell>
          <cell r="N12" t="str">
            <v>Pipe water (public network)</v>
          </cell>
          <cell r="O12" t="str">
            <v>Yes</v>
          </cell>
          <cell r="P12" t="str">
            <v>Yes</v>
          </cell>
          <cell r="Q12">
            <v>140</v>
          </cell>
          <cell r="R12">
            <v>12</v>
          </cell>
          <cell r="S12" t="str">
            <v>Yes</v>
          </cell>
          <cell r="T12" t="str">
            <v>Yes</v>
          </cell>
          <cell r="U12" t="str">
            <v>Yes</v>
          </cell>
          <cell r="V12" t="str">
            <v>yes</v>
          </cell>
          <cell r="W12" t="str">
            <v>yes</v>
          </cell>
          <cell r="X12" t="str">
            <v>yes</v>
          </cell>
          <cell r="Y12" t="str">
            <v>NO</v>
          </cell>
          <cell r="Z12">
            <v>0</v>
          </cell>
          <cell r="AA12">
            <v>0</v>
          </cell>
          <cell r="AB12">
            <v>60</v>
          </cell>
          <cell r="AC12">
            <v>0.12448132780082988</v>
          </cell>
          <cell r="AD12">
            <v>11</v>
          </cell>
          <cell r="AE12">
            <v>0.6470588235294118</v>
          </cell>
          <cell r="AF12">
            <v>180</v>
          </cell>
          <cell r="AG12">
            <v>0.10714285714285714</v>
          </cell>
          <cell r="AH12">
            <v>140</v>
          </cell>
          <cell r="AI12">
            <v>8.3333333333333329E-2</v>
          </cell>
          <cell r="AJ12">
            <v>15</v>
          </cell>
          <cell r="AK12">
            <v>8.9285714285714281E-3</v>
          </cell>
          <cell r="AL12">
            <v>1</v>
          </cell>
          <cell r="AM12" t="str">
            <v>Yes</v>
          </cell>
          <cell r="AN12" t="str">
            <v>yes</v>
          </cell>
          <cell r="AO12" t="str">
            <v>Yes</v>
          </cell>
          <cell r="AP12" t="str">
            <v>Yes</v>
          </cell>
          <cell r="AQ12" t="str">
            <v>Yes</v>
          </cell>
          <cell r="AR12" t="str">
            <v>Go to DoH health facilities (hospital and PHC)</v>
          </cell>
          <cell r="AS12" t="str">
            <v>No</v>
          </cell>
          <cell r="AT12">
            <v>0</v>
          </cell>
          <cell r="AU12">
            <v>0</v>
          </cell>
          <cell r="AV12">
            <v>0</v>
          </cell>
        </row>
        <row r="13">
          <cell r="A13" t="str">
            <v>Ramadi /Al Warar</v>
          </cell>
          <cell r="B13">
            <v>800</v>
          </cell>
          <cell r="C13">
            <v>4800</v>
          </cell>
          <cell r="D13">
            <v>200</v>
          </cell>
          <cell r="E13">
            <v>1376</v>
          </cell>
          <cell r="F13">
            <v>0.28666666666666668</v>
          </cell>
          <cell r="G13">
            <v>2285</v>
          </cell>
          <cell r="H13">
            <v>0.47604166666666664</v>
          </cell>
          <cell r="I13">
            <v>14</v>
          </cell>
          <cell r="J13">
            <v>6.12691466083151E-3</v>
          </cell>
          <cell r="K13">
            <v>50</v>
          </cell>
          <cell r="L13">
            <v>6.25E-2</v>
          </cell>
          <cell r="M13">
            <v>40</v>
          </cell>
          <cell r="N13" t="str">
            <v>Pipe water (public network)</v>
          </cell>
          <cell r="O13" t="str">
            <v>Yes</v>
          </cell>
          <cell r="P13" t="str">
            <v>Yes</v>
          </cell>
          <cell r="Q13">
            <v>300</v>
          </cell>
          <cell r="R13">
            <v>16</v>
          </cell>
          <cell r="S13" t="str">
            <v>Yes</v>
          </cell>
          <cell r="T13" t="str">
            <v>Yes</v>
          </cell>
          <cell r="U13" t="str">
            <v>Yes</v>
          </cell>
          <cell r="V13" t="str">
            <v>yes</v>
          </cell>
          <cell r="W13" t="str">
            <v>yes</v>
          </cell>
          <cell r="X13" t="str">
            <v>yes</v>
          </cell>
          <cell r="Y13" t="str">
            <v>YES</v>
          </cell>
          <cell r="Z13">
            <v>0</v>
          </cell>
          <cell r="AA13">
            <v>0</v>
          </cell>
          <cell r="AB13">
            <v>80</v>
          </cell>
          <cell r="AC13">
            <v>5.8139534883720929E-2</v>
          </cell>
          <cell r="AD13">
            <v>9</v>
          </cell>
          <cell r="AE13">
            <v>0.6428571428571429</v>
          </cell>
          <cell r="AF13">
            <v>350</v>
          </cell>
          <cell r="AG13">
            <v>7.2916666666666671E-2</v>
          </cell>
          <cell r="AH13">
            <v>300</v>
          </cell>
          <cell r="AI13">
            <v>6.25E-2</v>
          </cell>
          <cell r="AJ13">
            <v>40</v>
          </cell>
          <cell r="AK13">
            <v>8.3333333333333332E-3</v>
          </cell>
          <cell r="AL13">
            <v>2</v>
          </cell>
          <cell r="AM13" t="str">
            <v>Yes</v>
          </cell>
          <cell r="AN13" t="str">
            <v>yes</v>
          </cell>
          <cell r="AO13" t="str">
            <v>Yes</v>
          </cell>
          <cell r="AP13" t="str">
            <v>Yes</v>
          </cell>
          <cell r="AQ13" t="str">
            <v>Yes</v>
          </cell>
          <cell r="AR13" t="str">
            <v>Go to DoH health facilities (hospital and PHC)</v>
          </cell>
          <cell r="AS13" t="str">
            <v>No</v>
          </cell>
          <cell r="AT13">
            <v>0</v>
          </cell>
          <cell r="AU13">
            <v>0</v>
          </cell>
          <cell r="AV13">
            <v>0</v>
          </cell>
        </row>
        <row r="14">
          <cell r="A14" t="str">
            <v xml:space="preserve">Ramadi /Hay Al-Akrad </v>
          </cell>
          <cell r="B14">
            <v>460</v>
          </cell>
          <cell r="C14">
            <v>2760</v>
          </cell>
          <cell r="D14">
            <v>8</v>
          </cell>
          <cell r="E14">
            <v>791</v>
          </cell>
          <cell r="F14">
            <v>0.2865942028985507</v>
          </cell>
          <cell r="G14">
            <v>1314</v>
          </cell>
          <cell r="H14">
            <v>0.47608695652173916</v>
          </cell>
          <cell r="I14">
            <v>15</v>
          </cell>
          <cell r="J14">
            <v>1.1415525114155251E-2</v>
          </cell>
          <cell r="K14">
            <v>40</v>
          </cell>
          <cell r="L14">
            <v>8.6956521739130432E-2</v>
          </cell>
          <cell r="M14">
            <v>20</v>
          </cell>
          <cell r="N14" t="str">
            <v>Pipe water (public network)</v>
          </cell>
          <cell r="O14" t="str">
            <v>Yes</v>
          </cell>
          <cell r="P14" t="str">
            <v>Yes</v>
          </cell>
          <cell r="Q14">
            <v>220</v>
          </cell>
          <cell r="R14">
            <v>13</v>
          </cell>
          <cell r="S14" t="str">
            <v>Yes</v>
          </cell>
          <cell r="T14" t="str">
            <v>Yes</v>
          </cell>
          <cell r="U14" t="str">
            <v>Yes</v>
          </cell>
          <cell r="V14" t="str">
            <v>yes</v>
          </cell>
          <cell r="W14" t="str">
            <v>NO</v>
          </cell>
          <cell r="X14" t="str">
            <v>yes</v>
          </cell>
          <cell r="Y14" t="str">
            <v>NO</v>
          </cell>
          <cell r="Z14">
            <v>0</v>
          </cell>
          <cell r="AA14">
            <v>0</v>
          </cell>
          <cell r="AB14">
            <v>70</v>
          </cell>
          <cell r="AC14">
            <v>8.8495575221238937E-2</v>
          </cell>
          <cell r="AD14">
            <v>7</v>
          </cell>
          <cell r="AE14">
            <v>0.46666666666666667</v>
          </cell>
          <cell r="AF14">
            <v>250</v>
          </cell>
          <cell r="AG14">
            <v>9.0579710144927536E-2</v>
          </cell>
          <cell r="AH14">
            <v>275</v>
          </cell>
          <cell r="AI14">
            <v>9.9637681159420288E-2</v>
          </cell>
          <cell r="AJ14">
            <v>65</v>
          </cell>
          <cell r="AK14">
            <v>2.355072463768116E-2</v>
          </cell>
          <cell r="AL14">
            <v>2</v>
          </cell>
          <cell r="AM14" t="str">
            <v>Yes</v>
          </cell>
          <cell r="AN14" t="str">
            <v>yes</v>
          </cell>
          <cell r="AO14" t="str">
            <v>Yes</v>
          </cell>
          <cell r="AP14" t="str">
            <v>Yes</v>
          </cell>
          <cell r="AQ14" t="str">
            <v>Yes</v>
          </cell>
          <cell r="AR14" t="str">
            <v>Go to DoH health facilities (hospital and PHC)</v>
          </cell>
          <cell r="AS14" t="str">
            <v>No</v>
          </cell>
          <cell r="AT14">
            <v>0</v>
          </cell>
          <cell r="AU14">
            <v>0</v>
          </cell>
          <cell r="AV14">
            <v>0</v>
          </cell>
        </row>
        <row r="15">
          <cell r="A15" t="str">
            <v xml:space="preserve">Ramadi /Al-Shuqaq Al-bidh </v>
          </cell>
          <cell r="B15">
            <v>200</v>
          </cell>
          <cell r="C15">
            <v>1200</v>
          </cell>
          <cell r="D15">
            <v>0</v>
          </cell>
          <cell r="E15">
            <v>344</v>
          </cell>
          <cell r="F15">
            <v>0.28666666666666668</v>
          </cell>
          <cell r="G15">
            <v>571</v>
          </cell>
          <cell r="H15">
            <v>0.47583333333333333</v>
          </cell>
          <cell r="I15">
            <v>12</v>
          </cell>
          <cell r="J15">
            <v>2.1015761821366025E-2</v>
          </cell>
          <cell r="K15">
            <v>16</v>
          </cell>
          <cell r="L15">
            <v>0.08</v>
          </cell>
          <cell r="M15">
            <v>18</v>
          </cell>
          <cell r="N15" t="str">
            <v>Pipe water (public network)</v>
          </cell>
          <cell r="O15" t="str">
            <v>Yes</v>
          </cell>
          <cell r="P15" t="str">
            <v>Yes</v>
          </cell>
          <cell r="Q15">
            <v>90</v>
          </cell>
          <cell r="R15">
            <v>13</v>
          </cell>
          <cell r="S15" t="str">
            <v>Yes</v>
          </cell>
          <cell r="T15" t="str">
            <v>Yes</v>
          </cell>
          <cell r="U15" t="str">
            <v>Yes</v>
          </cell>
          <cell r="V15" t="str">
            <v>yes</v>
          </cell>
          <cell r="W15" t="str">
            <v>NO</v>
          </cell>
          <cell r="X15" t="str">
            <v>yes</v>
          </cell>
          <cell r="Y15" t="str">
            <v>NO</v>
          </cell>
          <cell r="Z15">
            <v>0</v>
          </cell>
          <cell r="AA15">
            <v>0</v>
          </cell>
          <cell r="AB15">
            <v>35</v>
          </cell>
          <cell r="AC15">
            <v>0.10174418604651163</v>
          </cell>
          <cell r="AD15">
            <v>7</v>
          </cell>
          <cell r="AE15">
            <v>0.58333333333333337</v>
          </cell>
          <cell r="AF15">
            <v>90</v>
          </cell>
          <cell r="AG15">
            <v>7.4999999999999997E-2</v>
          </cell>
          <cell r="AH15">
            <v>110</v>
          </cell>
          <cell r="AI15">
            <v>9.166666666666666E-2</v>
          </cell>
          <cell r="AJ15">
            <v>21</v>
          </cell>
          <cell r="AK15">
            <v>1.7500000000000002E-2</v>
          </cell>
          <cell r="AL15">
            <v>0.1</v>
          </cell>
          <cell r="AM15" t="str">
            <v>Yes</v>
          </cell>
          <cell r="AN15" t="str">
            <v>yes</v>
          </cell>
          <cell r="AO15" t="str">
            <v>Yes</v>
          </cell>
          <cell r="AP15" t="str">
            <v>Yes</v>
          </cell>
          <cell r="AQ15" t="str">
            <v>Yes</v>
          </cell>
          <cell r="AR15" t="str">
            <v>Go to DoH health facilities (hospital and PHC)</v>
          </cell>
          <cell r="AS15" t="str">
            <v>No</v>
          </cell>
          <cell r="AT15">
            <v>0</v>
          </cell>
          <cell r="AU15">
            <v>0</v>
          </cell>
          <cell r="AV15">
            <v>0</v>
          </cell>
        </row>
        <row r="16">
          <cell r="A16" t="str">
            <v xml:space="preserve">Ramadi/Al Rimilah </v>
          </cell>
          <cell r="B16">
            <v>2833</v>
          </cell>
          <cell r="C16">
            <v>16998</v>
          </cell>
          <cell r="D16">
            <v>50</v>
          </cell>
          <cell r="E16">
            <v>4872</v>
          </cell>
          <cell r="F16">
            <v>0.28662195552417929</v>
          </cell>
          <cell r="G16">
            <v>8092</v>
          </cell>
          <cell r="H16">
            <v>0.47605600658901048</v>
          </cell>
          <cell r="I16">
            <v>682</v>
          </cell>
          <cell r="J16">
            <v>8.4280771131982207E-2</v>
          </cell>
          <cell r="K16">
            <v>567</v>
          </cell>
          <cell r="L16">
            <v>0.20014119308153899</v>
          </cell>
          <cell r="M16">
            <v>188</v>
          </cell>
          <cell r="N16" t="str">
            <v>Pipe water (public network)</v>
          </cell>
          <cell r="O16" t="str">
            <v>Yes</v>
          </cell>
          <cell r="P16" t="str">
            <v>Yes</v>
          </cell>
          <cell r="Q16">
            <v>1449</v>
          </cell>
          <cell r="R16">
            <v>12</v>
          </cell>
          <cell r="S16" t="str">
            <v>Yes</v>
          </cell>
          <cell r="T16" t="str">
            <v>Yes</v>
          </cell>
          <cell r="U16" t="str">
            <v>Yes</v>
          </cell>
          <cell r="V16" t="str">
            <v>yes</v>
          </cell>
          <cell r="W16" t="str">
            <v>NO</v>
          </cell>
          <cell r="X16" t="str">
            <v>no</v>
          </cell>
          <cell r="Y16" t="str">
            <v>NO</v>
          </cell>
          <cell r="Z16">
            <v>0</v>
          </cell>
          <cell r="AA16">
            <v>0</v>
          </cell>
          <cell r="AB16">
            <v>1218</v>
          </cell>
          <cell r="AC16">
            <v>0.25</v>
          </cell>
          <cell r="AD16">
            <v>341</v>
          </cell>
          <cell r="AE16">
            <v>0.5</v>
          </cell>
          <cell r="AF16">
            <v>2000</v>
          </cell>
          <cell r="AG16">
            <v>0.11766090128250382</v>
          </cell>
          <cell r="AH16">
            <v>1800</v>
          </cell>
          <cell r="AI16">
            <v>0.10589481115425343</v>
          </cell>
          <cell r="AJ16">
            <v>708</v>
          </cell>
          <cell r="AK16">
            <v>4.165195905400635E-2</v>
          </cell>
          <cell r="AL16">
            <v>0.7</v>
          </cell>
          <cell r="AM16" t="str">
            <v>Yes</v>
          </cell>
          <cell r="AN16" t="str">
            <v>yes</v>
          </cell>
          <cell r="AO16" t="str">
            <v>Yes</v>
          </cell>
          <cell r="AP16" t="str">
            <v>Yes</v>
          </cell>
          <cell r="AQ16" t="str">
            <v>Yes</v>
          </cell>
          <cell r="AR16" t="str">
            <v>Go to DoH health facilities (hospital and PHC)</v>
          </cell>
          <cell r="AS16" t="str">
            <v>No</v>
          </cell>
          <cell r="AT16">
            <v>0</v>
          </cell>
          <cell r="AU16">
            <v>0</v>
          </cell>
          <cell r="AV16">
            <v>0</v>
          </cell>
        </row>
        <row r="17">
          <cell r="A17" t="str">
            <v>Ramadi /Al jeraishi</v>
          </cell>
          <cell r="B17">
            <v>570</v>
          </cell>
          <cell r="C17">
            <v>3420</v>
          </cell>
          <cell r="D17">
            <v>7</v>
          </cell>
          <cell r="E17">
            <v>980</v>
          </cell>
          <cell r="F17">
            <v>0.28654970760233917</v>
          </cell>
          <cell r="G17">
            <v>1682</v>
          </cell>
          <cell r="H17">
            <v>0.49181286549707603</v>
          </cell>
          <cell r="I17">
            <v>24</v>
          </cell>
          <cell r="J17">
            <v>1.4268727705112961E-2</v>
          </cell>
          <cell r="K17">
            <v>60</v>
          </cell>
          <cell r="L17">
            <v>0.10526315789473684</v>
          </cell>
          <cell r="M17">
            <v>30</v>
          </cell>
          <cell r="N17" t="str">
            <v>pipe water (public network)</v>
          </cell>
          <cell r="O17" t="str">
            <v>Yes</v>
          </cell>
          <cell r="P17" t="str">
            <v>Yes</v>
          </cell>
          <cell r="Q17">
            <v>260</v>
          </cell>
          <cell r="R17">
            <v>13</v>
          </cell>
          <cell r="S17" t="str">
            <v>Yes</v>
          </cell>
          <cell r="T17" t="str">
            <v>Yes</v>
          </cell>
          <cell r="U17" t="str">
            <v>No</v>
          </cell>
          <cell r="V17" t="str">
            <v>yes</v>
          </cell>
          <cell r="W17" t="str">
            <v>yes</v>
          </cell>
          <cell r="X17" t="str">
            <v>yes</v>
          </cell>
          <cell r="Y17" t="str">
            <v>NO</v>
          </cell>
          <cell r="Z17">
            <v>0</v>
          </cell>
          <cell r="AA17">
            <v>0</v>
          </cell>
          <cell r="AB17">
            <v>50</v>
          </cell>
          <cell r="AC17">
            <v>5.1020408163265307E-2</v>
          </cell>
          <cell r="AD17">
            <v>5</v>
          </cell>
          <cell r="AE17">
            <v>0.20833333333333334</v>
          </cell>
          <cell r="AF17">
            <v>310</v>
          </cell>
          <cell r="AG17">
            <v>9.0643274853801165E-2</v>
          </cell>
          <cell r="AH17">
            <v>340</v>
          </cell>
          <cell r="AI17">
            <v>9.9415204678362568E-2</v>
          </cell>
          <cell r="AJ17">
            <v>18</v>
          </cell>
          <cell r="AK17">
            <v>5.263157894736842E-3</v>
          </cell>
          <cell r="AL17">
            <v>0.87</v>
          </cell>
          <cell r="AM17" t="str">
            <v>Yes</v>
          </cell>
          <cell r="AN17" t="str">
            <v>yes</v>
          </cell>
          <cell r="AO17" t="str">
            <v>Yes</v>
          </cell>
          <cell r="AP17" t="str">
            <v>Yes</v>
          </cell>
          <cell r="AQ17" t="str">
            <v>Yes</v>
          </cell>
          <cell r="AR17" t="str">
            <v>Go to DoH health facilities (hospital and PHC)</v>
          </cell>
          <cell r="AS17" t="str">
            <v>No</v>
          </cell>
          <cell r="AT17">
            <v>0</v>
          </cell>
          <cell r="AU17">
            <v>0</v>
          </cell>
          <cell r="AV17">
            <v>0</v>
          </cell>
        </row>
        <row r="18">
          <cell r="A18" t="str">
            <v>Ramadi /Kilo 5 camp</v>
          </cell>
          <cell r="B18">
            <v>2500</v>
          </cell>
          <cell r="C18">
            <v>15000</v>
          </cell>
          <cell r="D18">
            <v>10</v>
          </cell>
          <cell r="E18">
            <v>4299</v>
          </cell>
          <cell r="F18">
            <v>0.28660000000000002</v>
          </cell>
          <cell r="G18">
            <v>7141</v>
          </cell>
          <cell r="H18">
            <v>0.47606666666666669</v>
          </cell>
          <cell r="I18">
            <v>50</v>
          </cell>
          <cell r="J18">
            <v>7.0018204733230636E-3</v>
          </cell>
          <cell r="K18">
            <v>550</v>
          </cell>
          <cell r="L18">
            <v>0.22</v>
          </cell>
          <cell r="M18">
            <v>80</v>
          </cell>
          <cell r="N18" t="str">
            <v>Pipe water (public network)</v>
          </cell>
          <cell r="O18" t="str">
            <v>Yes</v>
          </cell>
          <cell r="P18" t="str">
            <v>Yes</v>
          </cell>
          <cell r="Q18">
            <v>1200</v>
          </cell>
          <cell r="R18">
            <v>13</v>
          </cell>
          <cell r="S18" t="str">
            <v>Yes</v>
          </cell>
          <cell r="T18" t="str">
            <v>Yes</v>
          </cell>
          <cell r="U18" t="str">
            <v>Yes</v>
          </cell>
          <cell r="V18" t="str">
            <v>yes</v>
          </cell>
          <cell r="W18" t="str">
            <v>NO</v>
          </cell>
          <cell r="X18" t="str">
            <v>yes</v>
          </cell>
          <cell r="Y18" t="str">
            <v>NO</v>
          </cell>
          <cell r="Z18">
            <v>0</v>
          </cell>
          <cell r="AA18">
            <v>0</v>
          </cell>
          <cell r="AB18">
            <v>200</v>
          </cell>
          <cell r="AC18">
            <v>4.6522447080716449E-2</v>
          </cell>
          <cell r="AD18">
            <v>25</v>
          </cell>
          <cell r="AE18">
            <v>0.5</v>
          </cell>
          <cell r="AF18">
            <v>600</v>
          </cell>
          <cell r="AG18">
            <v>0.04</v>
          </cell>
          <cell r="AH18">
            <v>1200</v>
          </cell>
          <cell r="AI18">
            <v>0.08</v>
          </cell>
          <cell r="AJ18">
            <v>60</v>
          </cell>
          <cell r="AK18">
            <v>4.0000000000000001E-3</v>
          </cell>
          <cell r="AL18">
            <v>1</v>
          </cell>
          <cell r="AM18" t="str">
            <v>Yes</v>
          </cell>
          <cell r="AN18" t="str">
            <v>yes</v>
          </cell>
          <cell r="AO18" t="str">
            <v>Yes</v>
          </cell>
          <cell r="AP18" t="str">
            <v>Yes</v>
          </cell>
          <cell r="AQ18" t="str">
            <v>Yes</v>
          </cell>
          <cell r="AR18" t="str">
            <v>Go to DoH health facilities (hospital and PHC)</v>
          </cell>
          <cell r="AS18" t="str">
            <v>No</v>
          </cell>
          <cell r="AT18">
            <v>0</v>
          </cell>
          <cell r="AU18">
            <v>0</v>
          </cell>
          <cell r="AV18">
            <v>0</v>
          </cell>
        </row>
        <row r="19">
          <cell r="A19" t="str">
            <v xml:space="preserve">Ramadi /Kilo 7 </v>
          </cell>
          <cell r="B19">
            <v>718</v>
          </cell>
          <cell r="C19">
            <v>4308</v>
          </cell>
          <cell r="D19">
            <v>3</v>
          </cell>
          <cell r="E19">
            <v>1235</v>
          </cell>
          <cell r="F19">
            <v>0.28667595171773447</v>
          </cell>
          <cell r="G19">
            <v>2051</v>
          </cell>
          <cell r="H19">
            <v>0.47609099350046424</v>
          </cell>
          <cell r="I19">
            <v>20</v>
          </cell>
          <cell r="J19">
            <v>9.751340809361287E-3</v>
          </cell>
          <cell r="K19">
            <v>100</v>
          </cell>
          <cell r="L19">
            <v>0.1392757660167131</v>
          </cell>
          <cell r="M19">
            <v>120</v>
          </cell>
          <cell r="N19" t="str">
            <v>Water From Revir</v>
          </cell>
          <cell r="O19" t="str">
            <v>No</v>
          </cell>
          <cell r="P19" t="str">
            <v>Yes</v>
          </cell>
          <cell r="Q19">
            <v>300</v>
          </cell>
          <cell r="R19">
            <v>14</v>
          </cell>
          <cell r="S19" t="str">
            <v>Yes</v>
          </cell>
          <cell r="T19" t="str">
            <v>Yes</v>
          </cell>
          <cell r="U19" t="str">
            <v>No</v>
          </cell>
          <cell r="V19" t="str">
            <v>No</v>
          </cell>
          <cell r="W19" t="str">
            <v>NO</v>
          </cell>
          <cell r="X19" t="str">
            <v>yes</v>
          </cell>
          <cell r="Y19" t="str">
            <v>NO</v>
          </cell>
          <cell r="Z19">
            <v>0</v>
          </cell>
          <cell r="AA19">
            <v>0</v>
          </cell>
          <cell r="AB19">
            <v>500</v>
          </cell>
          <cell r="AC19">
            <v>0.40485829959514169</v>
          </cell>
          <cell r="AD19">
            <v>14</v>
          </cell>
          <cell r="AE19">
            <v>0.7</v>
          </cell>
          <cell r="AF19">
            <v>450</v>
          </cell>
          <cell r="AG19">
            <v>0.10445682451253482</v>
          </cell>
          <cell r="AH19">
            <v>400</v>
          </cell>
          <cell r="AI19">
            <v>9.2850510677808723E-2</v>
          </cell>
          <cell r="AJ19">
            <v>50</v>
          </cell>
          <cell r="AK19">
            <v>1.160631383472609E-2</v>
          </cell>
          <cell r="AL19">
            <v>10</v>
          </cell>
          <cell r="AM19" t="str">
            <v>No</v>
          </cell>
          <cell r="AN19" t="str">
            <v>yes</v>
          </cell>
          <cell r="AO19" t="str">
            <v>No</v>
          </cell>
          <cell r="AP19" t="str">
            <v>No</v>
          </cell>
          <cell r="AQ19" t="str">
            <v>No</v>
          </cell>
          <cell r="AR19" t="str">
            <v>Self medicate</v>
          </cell>
          <cell r="AS19" t="str">
            <v>No</v>
          </cell>
          <cell r="AT19">
            <v>0</v>
          </cell>
          <cell r="AU19">
            <v>0</v>
          </cell>
          <cell r="AV19">
            <v>0</v>
          </cell>
        </row>
        <row r="20">
          <cell r="A20" t="str">
            <v>Ramadi /Kilo 18 camp</v>
          </cell>
          <cell r="B20">
            <v>1108</v>
          </cell>
          <cell r="C20">
            <v>6648</v>
          </cell>
          <cell r="D20">
            <v>15</v>
          </cell>
          <cell r="E20">
            <v>1916</v>
          </cell>
          <cell r="F20">
            <v>0.28820697954271962</v>
          </cell>
          <cell r="G20">
            <v>3182</v>
          </cell>
          <cell r="H20">
            <v>0.4786401925391095</v>
          </cell>
          <cell r="I20">
            <v>30</v>
          </cell>
          <cell r="J20">
            <v>9.4280326838466367E-3</v>
          </cell>
          <cell r="K20">
            <v>200</v>
          </cell>
          <cell r="L20">
            <v>0.18050541516245489</v>
          </cell>
          <cell r="M20">
            <v>80</v>
          </cell>
          <cell r="N20" t="str">
            <v>Pipe water (public network)</v>
          </cell>
          <cell r="O20" t="str">
            <v>Yes</v>
          </cell>
          <cell r="P20" t="str">
            <v>Yes</v>
          </cell>
          <cell r="Q20">
            <v>277</v>
          </cell>
          <cell r="R20">
            <v>24</v>
          </cell>
          <cell r="S20" t="str">
            <v>Yes</v>
          </cell>
          <cell r="T20" t="str">
            <v>Yes</v>
          </cell>
          <cell r="U20" t="str">
            <v>Yes</v>
          </cell>
          <cell r="V20" t="str">
            <v>yes</v>
          </cell>
          <cell r="W20" t="str">
            <v>yes</v>
          </cell>
          <cell r="X20" t="str">
            <v>yes</v>
          </cell>
          <cell r="Y20" t="str">
            <v>YES</v>
          </cell>
          <cell r="Z20">
            <v>0</v>
          </cell>
          <cell r="AA20">
            <v>0</v>
          </cell>
          <cell r="AB20">
            <v>250</v>
          </cell>
          <cell r="AC20">
            <v>0.13048016701461379</v>
          </cell>
          <cell r="AD20">
            <v>18</v>
          </cell>
          <cell r="AE20">
            <v>0.6</v>
          </cell>
          <cell r="AF20">
            <v>620</v>
          </cell>
          <cell r="AG20">
            <v>9.3261131167268349E-2</v>
          </cell>
          <cell r="AH20">
            <v>600</v>
          </cell>
          <cell r="AI20">
            <v>9.0252707581227443E-2</v>
          </cell>
          <cell r="AJ20">
            <v>55</v>
          </cell>
          <cell r="AK20">
            <v>8.2731648616125152E-3</v>
          </cell>
          <cell r="AL20">
            <v>0.1</v>
          </cell>
          <cell r="AM20" t="str">
            <v>Yes</v>
          </cell>
          <cell r="AN20" t="str">
            <v>yes</v>
          </cell>
          <cell r="AO20" t="str">
            <v>Yes</v>
          </cell>
          <cell r="AP20" t="str">
            <v>Yes</v>
          </cell>
          <cell r="AQ20" t="str">
            <v>Yes</v>
          </cell>
          <cell r="AR20" t="str">
            <v>Go to DoH health facilities (hospital and PHC)</v>
          </cell>
          <cell r="AS20" t="str">
            <v>Yes</v>
          </cell>
          <cell r="AT20">
            <v>0</v>
          </cell>
          <cell r="AU20">
            <v>0</v>
          </cell>
          <cell r="AV20">
            <v>0</v>
          </cell>
        </row>
        <row r="21">
          <cell r="A21" t="str">
            <v xml:space="preserve">Ramadi /Al-wafaa </v>
          </cell>
          <cell r="B21">
            <v>1150</v>
          </cell>
          <cell r="C21">
            <v>6900</v>
          </cell>
          <cell r="D21">
            <v>10</v>
          </cell>
          <cell r="E21">
            <v>1978</v>
          </cell>
          <cell r="F21">
            <v>0.28666666666666668</v>
          </cell>
          <cell r="G21">
            <v>3285</v>
          </cell>
          <cell r="H21">
            <v>0.47608695652173916</v>
          </cell>
          <cell r="I21">
            <v>70</v>
          </cell>
          <cell r="J21">
            <v>2.1308980213089801E-2</v>
          </cell>
          <cell r="K21">
            <v>73</v>
          </cell>
          <cell r="L21">
            <v>6.347826086956522E-2</v>
          </cell>
          <cell r="M21">
            <v>50</v>
          </cell>
          <cell r="N21" t="str">
            <v>Pipe water (public network)</v>
          </cell>
          <cell r="O21" t="str">
            <v>Yes</v>
          </cell>
          <cell r="P21" t="str">
            <v>Yes</v>
          </cell>
          <cell r="Q21">
            <v>575</v>
          </cell>
          <cell r="R21">
            <v>12</v>
          </cell>
          <cell r="S21" t="str">
            <v>Yes</v>
          </cell>
          <cell r="T21" t="str">
            <v>Yes</v>
          </cell>
          <cell r="U21" t="str">
            <v>Yes</v>
          </cell>
          <cell r="V21" t="str">
            <v>yes</v>
          </cell>
          <cell r="W21" t="str">
            <v>NO</v>
          </cell>
          <cell r="X21" t="str">
            <v>yes</v>
          </cell>
          <cell r="Y21" t="str">
            <v>NO</v>
          </cell>
          <cell r="Z21">
            <v>0</v>
          </cell>
          <cell r="AA21">
            <v>0</v>
          </cell>
          <cell r="AB21">
            <v>120</v>
          </cell>
          <cell r="AC21">
            <v>6.0667340748230533E-2</v>
          </cell>
          <cell r="AD21">
            <v>35</v>
          </cell>
          <cell r="AE21">
            <v>0.5</v>
          </cell>
          <cell r="AF21">
            <v>80</v>
          </cell>
          <cell r="AG21">
            <v>1.1594202898550725E-2</v>
          </cell>
          <cell r="AH21">
            <v>640</v>
          </cell>
          <cell r="AI21">
            <v>9.2753623188405798E-2</v>
          </cell>
          <cell r="AJ21">
            <v>750</v>
          </cell>
          <cell r="AK21">
            <v>0.10869565217391304</v>
          </cell>
          <cell r="AL21">
            <v>0.3</v>
          </cell>
          <cell r="AM21" t="str">
            <v>Yes</v>
          </cell>
          <cell r="AN21" t="str">
            <v>yes</v>
          </cell>
          <cell r="AO21" t="str">
            <v>Yes</v>
          </cell>
          <cell r="AP21" t="str">
            <v>Yes</v>
          </cell>
          <cell r="AQ21" t="str">
            <v>Yes</v>
          </cell>
          <cell r="AR21" t="str">
            <v>Go to DoH health facilities (hospital and PHC)</v>
          </cell>
          <cell r="AS21" t="str">
            <v>No</v>
          </cell>
          <cell r="AT21">
            <v>0</v>
          </cell>
          <cell r="AU21">
            <v>0</v>
          </cell>
          <cell r="AV21">
            <v>0</v>
          </cell>
        </row>
        <row r="22">
          <cell r="A22" t="str">
            <v>Ramadi /Kilo 60</v>
          </cell>
          <cell r="B22">
            <v>272</v>
          </cell>
          <cell r="C22">
            <v>1632</v>
          </cell>
          <cell r="D22">
            <v>100</v>
          </cell>
          <cell r="E22">
            <v>468</v>
          </cell>
          <cell r="F22">
            <v>0.28676470588235292</v>
          </cell>
          <cell r="G22">
            <v>777</v>
          </cell>
          <cell r="H22">
            <v>0.47610294117647056</v>
          </cell>
          <cell r="I22">
            <v>20</v>
          </cell>
          <cell r="J22">
            <v>2.5740025740025738E-2</v>
          </cell>
          <cell r="K22">
            <v>34</v>
          </cell>
          <cell r="L22">
            <v>0.125</v>
          </cell>
          <cell r="M22">
            <v>24</v>
          </cell>
          <cell r="N22" t="str">
            <v>Water Trucking</v>
          </cell>
          <cell r="O22" t="str">
            <v>Yes</v>
          </cell>
          <cell r="P22" t="str">
            <v>Yes</v>
          </cell>
          <cell r="Q22">
            <v>168</v>
          </cell>
          <cell r="R22">
            <v>10</v>
          </cell>
          <cell r="S22" t="str">
            <v>Yes</v>
          </cell>
          <cell r="T22" t="str">
            <v>Yes</v>
          </cell>
          <cell r="U22" t="str">
            <v>No</v>
          </cell>
          <cell r="V22" t="str">
            <v>yes</v>
          </cell>
          <cell r="W22" t="str">
            <v>yes</v>
          </cell>
          <cell r="X22" t="str">
            <v>no</v>
          </cell>
          <cell r="Y22" t="str">
            <v>YES</v>
          </cell>
          <cell r="Z22">
            <v>0</v>
          </cell>
          <cell r="AA22">
            <v>0</v>
          </cell>
          <cell r="AB22">
            <v>60</v>
          </cell>
          <cell r="AC22">
            <v>0.12820512820512819</v>
          </cell>
          <cell r="AD22">
            <v>11</v>
          </cell>
          <cell r="AE22">
            <v>0.55000000000000004</v>
          </cell>
          <cell r="AF22">
            <v>45</v>
          </cell>
          <cell r="AG22">
            <v>2.7573529411764705E-2</v>
          </cell>
          <cell r="AH22">
            <v>60</v>
          </cell>
          <cell r="AI22">
            <v>3.6764705882352942E-2</v>
          </cell>
          <cell r="AJ22">
            <v>68</v>
          </cell>
          <cell r="AK22">
            <v>4.1666666666666664E-2</v>
          </cell>
          <cell r="AL22">
            <v>0.5</v>
          </cell>
          <cell r="AM22" t="str">
            <v>Yes</v>
          </cell>
          <cell r="AN22" t="str">
            <v>yes</v>
          </cell>
          <cell r="AO22" t="str">
            <v>Yes</v>
          </cell>
          <cell r="AP22" t="str">
            <v>Yes</v>
          </cell>
          <cell r="AQ22" t="str">
            <v>Yes</v>
          </cell>
          <cell r="AR22" t="str">
            <v>Go to DoH health facilities (hospital and PHC)</v>
          </cell>
          <cell r="AS22" t="str">
            <v>Yes</v>
          </cell>
          <cell r="AT22">
            <v>0</v>
          </cell>
          <cell r="AU22">
            <v>0</v>
          </cell>
          <cell r="AV22">
            <v>0</v>
          </cell>
        </row>
        <row r="23">
          <cell r="A23" t="str">
            <v>Ramadi /Al-Ankor</v>
          </cell>
          <cell r="B23">
            <v>760</v>
          </cell>
          <cell r="C23">
            <v>4560</v>
          </cell>
          <cell r="D23">
            <v>0</v>
          </cell>
          <cell r="E23">
            <v>1307</v>
          </cell>
          <cell r="F23">
            <v>0.28662280701754383</v>
          </cell>
          <cell r="G23">
            <v>2171</v>
          </cell>
          <cell r="H23">
            <v>0.47609649122807018</v>
          </cell>
          <cell r="I23">
            <v>25</v>
          </cell>
          <cell r="J23">
            <v>1.1515430677107323E-2</v>
          </cell>
          <cell r="K23">
            <v>200</v>
          </cell>
          <cell r="L23">
            <v>0.26315789473684209</v>
          </cell>
          <cell r="M23">
            <v>110</v>
          </cell>
          <cell r="N23" t="str">
            <v>Pipe water (public network)</v>
          </cell>
          <cell r="O23" t="str">
            <v>Yes</v>
          </cell>
          <cell r="P23" t="str">
            <v>Yes</v>
          </cell>
          <cell r="Q23">
            <v>300</v>
          </cell>
          <cell r="R23">
            <v>15</v>
          </cell>
          <cell r="S23" t="str">
            <v>Yes</v>
          </cell>
          <cell r="T23" t="str">
            <v>Yes</v>
          </cell>
          <cell r="U23" t="str">
            <v>No</v>
          </cell>
          <cell r="V23" t="str">
            <v>yes</v>
          </cell>
          <cell r="W23" t="str">
            <v>NO</v>
          </cell>
          <cell r="X23" t="str">
            <v>yes</v>
          </cell>
          <cell r="Y23" t="str">
            <v>NO</v>
          </cell>
          <cell r="Z23">
            <v>0</v>
          </cell>
          <cell r="AA23">
            <v>0</v>
          </cell>
          <cell r="AB23">
            <v>200</v>
          </cell>
          <cell r="AC23">
            <v>0.15302218821729149</v>
          </cell>
          <cell r="AD23">
            <v>17</v>
          </cell>
          <cell r="AE23">
            <v>0.68</v>
          </cell>
          <cell r="AF23">
            <v>420</v>
          </cell>
          <cell r="AG23">
            <v>9.2105263157894732E-2</v>
          </cell>
          <cell r="AH23">
            <v>490</v>
          </cell>
          <cell r="AI23">
            <v>0.10745614035087719</v>
          </cell>
          <cell r="AJ23">
            <v>70</v>
          </cell>
          <cell r="AK23">
            <v>1.5350877192982455E-2</v>
          </cell>
          <cell r="AL23">
            <v>25</v>
          </cell>
          <cell r="AM23" t="str">
            <v>No</v>
          </cell>
          <cell r="AN23" t="str">
            <v>yes</v>
          </cell>
          <cell r="AO23" t="str">
            <v>No</v>
          </cell>
          <cell r="AP23" t="str">
            <v>No</v>
          </cell>
          <cell r="AQ23" t="str">
            <v>No</v>
          </cell>
          <cell r="AR23" t="str">
            <v>Self medicate</v>
          </cell>
          <cell r="AS23" t="str">
            <v>No</v>
          </cell>
          <cell r="AT23">
            <v>0</v>
          </cell>
          <cell r="AU23">
            <v>0</v>
          </cell>
          <cell r="AV23">
            <v>0</v>
          </cell>
        </row>
        <row r="24">
          <cell r="A24" t="str">
            <v>Ramadi /Zankura</v>
          </cell>
          <cell r="B24">
            <v>783</v>
          </cell>
          <cell r="C24">
            <v>4698</v>
          </cell>
          <cell r="D24">
            <v>0</v>
          </cell>
          <cell r="E24">
            <v>1347</v>
          </cell>
          <cell r="F24">
            <v>0.28671775223499363</v>
          </cell>
          <cell r="G24">
            <v>2237</v>
          </cell>
          <cell r="H24">
            <v>0.47616006811409112</v>
          </cell>
          <cell r="I24">
            <v>39</v>
          </cell>
          <cell r="J24">
            <v>1.7434063477872151E-2</v>
          </cell>
          <cell r="K24">
            <v>150</v>
          </cell>
          <cell r="L24">
            <v>0.19157088122605365</v>
          </cell>
          <cell r="M24">
            <v>60</v>
          </cell>
          <cell r="N24" t="str">
            <v>Pipe water (public network)</v>
          </cell>
          <cell r="O24" t="str">
            <v>Yes</v>
          </cell>
          <cell r="P24" t="str">
            <v>Yes</v>
          </cell>
          <cell r="Q24">
            <v>400</v>
          </cell>
          <cell r="R24">
            <v>12</v>
          </cell>
          <cell r="S24" t="str">
            <v>Yes</v>
          </cell>
          <cell r="T24" t="str">
            <v>Yes</v>
          </cell>
          <cell r="U24" t="str">
            <v>Yes</v>
          </cell>
          <cell r="V24" t="str">
            <v>yes</v>
          </cell>
          <cell r="W24" t="str">
            <v>NO</v>
          </cell>
          <cell r="X24" t="str">
            <v>yes</v>
          </cell>
          <cell r="Y24" t="str">
            <v>NO</v>
          </cell>
          <cell r="Z24">
            <v>0</v>
          </cell>
          <cell r="AA24">
            <v>0</v>
          </cell>
          <cell r="AB24">
            <v>200</v>
          </cell>
          <cell r="AC24">
            <v>0.14847809948032664</v>
          </cell>
          <cell r="AD24">
            <v>13</v>
          </cell>
          <cell r="AE24">
            <v>0.33333333333333331</v>
          </cell>
          <cell r="AF24">
            <v>350</v>
          </cell>
          <cell r="AG24">
            <v>7.4499787143465307E-2</v>
          </cell>
          <cell r="AH24">
            <v>400</v>
          </cell>
          <cell r="AI24">
            <v>8.5142613878246065E-2</v>
          </cell>
          <cell r="AJ24">
            <v>50</v>
          </cell>
          <cell r="AK24">
            <v>1.0642826734780758E-2</v>
          </cell>
          <cell r="AL24">
            <v>1</v>
          </cell>
          <cell r="AM24" t="str">
            <v>Yes</v>
          </cell>
          <cell r="AN24" t="str">
            <v>yes</v>
          </cell>
          <cell r="AO24" t="str">
            <v>Yes</v>
          </cell>
          <cell r="AP24" t="str">
            <v>Yes</v>
          </cell>
          <cell r="AQ24" t="str">
            <v>Yes</v>
          </cell>
          <cell r="AR24" t="str">
            <v>Go to DoH health facilities (hospital and PHC)</v>
          </cell>
          <cell r="AS24" t="str">
            <v>No</v>
          </cell>
          <cell r="AT24">
            <v>0</v>
          </cell>
          <cell r="AU24">
            <v>0</v>
          </cell>
          <cell r="AV24">
            <v>0</v>
          </cell>
        </row>
        <row r="25">
          <cell r="A25" t="str">
            <v>Ramadi /Modern village</v>
          </cell>
          <cell r="B25">
            <v>742</v>
          </cell>
          <cell r="C25">
            <v>4452</v>
          </cell>
          <cell r="D25">
            <v>15</v>
          </cell>
          <cell r="E25">
            <v>546</v>
          </cell>
          <cell r="F25">
            <v>0.12264150943396226</v>
          </cell>
          <cell r="G25">
            <v>2119</v>
          </cell>
          <cell r="H25">
            <v>0.47596585804132974</v>
          </cell>
          <cell r="I25">
            <v>24</v>
          </cell>
          <cell r="J25">
            <v>1.1326097215667769E-2</v>
          </cell>
          <cell r="K25">
            <v>60</v>
          </cell>
          <cell r="L25">
            <v>8.0862533692722366E-2</v>
          </cell>
          <cell r="M25">
            <v>75</v>
          </cell>
          <cell r="N25" t="str">
            <v>Pipe water (public network)</v>
          </cell>
          <cell r="O25" t="str">
            <v>Yes</v>
          </cell>
          <cell r="P25" t="str">
            <v>Yes</v>
          </cell>
          <cell r="Q25">
            <v>300</v>
          </cell>
          <cell r="R25">
            <v>15</v>
          </cell>
          <cell r="S25" t="str">
            <v>Yes</v>
          </cell>
          <cell r="T25" t="str">
            <v>Yes</v>
          </cell>
          <cell r="U25" t="str">
            <v>No</v>
          </cell>
          <cell r="V25" t="str">
            <v>yes</v>
          </cell>
          <cell r="W25" t="str">
            <v>yes</v>
          </cell>
          <cell r="X25" t="str">
            <v>yes</v>
          </cell>
          <cell r="Y25" t="str">
            <v>YES</v>
          </cell>
          <cell r="Z25">
            <v>0</v>
          </cell>
          <cell r="AA25">
            <v>0</v>
          </cell>
          <cell r="AB25">
            <v>90</v>
          </cell>
          <cell r="AC25">
            <v>0.16483516483516483</v>
          </cell>
          <cell r="AD25">
            <v>12</v>
          </cell>
          <cell r="AE25">
            <v>0.5</v>
          </cell>
          <cell r="AF25">
            <v>425</v>
          </cell>
          <cell r="AG25">
            <v>9.5462713387241688E-2</v>
          </cell>
          <cell r="AH25">
            <v>300</v>
          </cell>
          <cell r="AI25">
            <v>6.7385444743935305E-2</v>
          </cell>
          <cell r="AJ25">
            <v>70</v>
          </cell>
          <cell r="AK25">
            <v>1.5723270440251572E-2</v>
          </cell>
          <cell r="AL25">
            <v>1</v>
          </cell>
          <cell r="AM25" t="str">
            <v>Yes</v>
          </cell>
          <cell r="AN25" t="str">
            <v>yes</v>
          </cell>
          <cell r="AO25" t="str">
            <v>Yes</v>
          </cell>
          <cell r="AP25" t="str">
            <v>Partially</v>
          </cell>
          <cell r="AQ25" t="str">
            <v>Yes</v>
          </cell>
          <cell r="AR25" t="str">
            <v>Go to DoH health facilities (hospital and PHC)</v>
          </cell>
          <cell r="AS25" t="str">
            <v>No</v>
          </cell>
          <cell r="AT25">
            <v>0</v>
          </cell>
          <cell r="AU25">
            <v>0</v>
          </cell>
          <cell r="AV25">
            <v>0</v>
          </cell>
        </row>
        <row r="26">
          <cell r="A26" t="str">
            <v>Heet /Abu Tibban</v>
          </cell>
          <cell r="B26">
            <v>2000</v>
          </cell>
          <cell r="C26">
            <v>12000</v>
          </cell>
          <cell r="D26">
            <v>0</v>
          </cell>
          <cell r="E26">
            <v>3440</v>
          </cell>
          <cell r="F26">
            <v>0.28666666666666668</v>
          </cell>
          <cell r="G26">
            <v>5713</v>
          </cell>
          <cell r="H26">
            <v>0.47608333333333336</v>
          </cell>
          <cell r="I26">
            <v>30</v>
          </cell>
          <cell r="J26">
            <v>5.251181515841064E-3</v>
          </cell>
          <cell r="K26">
            <v>190</v>
          </cell>
          <cell r="L26">
            <v>9.5000000000000001E-2</v>
          </cell>
          <cell r="M26">
            <v>50</v>
          </cell>
          <cell r="N26" t="str">
            <v>Pipe water (public network)</v>
          </cell>
          <cell r="O26" t="str">
            <v>Yes</v>
          </cell>
          <cell r="P26" t="str">
            <v>Yes</v>
          </cell>
          <cell r="Q26">
            <v>1600</v>
          </cell>
          <cell r="R26">
            <v>8</v>
          </cell>
          <cell r="S26" t="str">
            <v>Yes</v>
          </cell>
          <cell r="T26" t="str">
            <v>Yes</v>
          </cell>
          <cell r="U26" t="str">
            <v>No</v>
          </cell>
          <cell r="V26" t="str">
            <v>yes</v>
          </cell>
          <cell r="W26" t="str">
            <v>NO</v>
          </cell>
          <cell r="X26" t="str">
            <v>yes</v>
          </cell>
          <cell r="Y26" t="str">
            <v>NO</v>
          </cell>
          <cell r="Z26">
            <v>0</v>
          </cell>
          <cell r="AA26">
            <v>0</v>
          </cell>
          <cell r="AB26">
            <v>100</v>
          </cell>
          <cell r="AC26">
            <v>2.9069767441860465E-2</v>
          </cell>
          <cell r="AD26">
            <v>9</v>
          </cell>
          <cell r="AE26">
            <v>0.3</v>
          </cell>
          <cell r="AF26">
            <v>900</v>
          </cell>
          <cell r="AG26">
            <v>7.4999999999999997E-2</v>
          </cell>
          <cell r="AH26">
            <v>1100</v>
          </cell>
          <cell r="AI26">
            <v>9.166666666666666E-2</v>
          </cell>
          <cell r="AJ26">
            <v>15</v>
          </cell>
          <cell r="AK26">
            <v>1.25E-3</v>
          </cell>
          <cell r="AL26">
            <v>0.5</v>
          </cell>
          <cell r="AM26" t="str">
            <v>Yes</v>
          </cell>
          <cell r="AN26" t="str">
            <v>yes</v>
          </cell>
          <cell r="AO26" t="str">
            <v>Yes</v>
          </cell>
          <cell r="AP26" t="str">
            <v>No</v>
          </cell>
          <cell r="AQ26" t="str">
            <v>No</v>
          </cell>
          <cell r="AR26" t="str">
            <v>Go to DoH health facilities (hospital and PHC)</v>
          </cell>
          <cell r="AS26" t="str">
            <v>No</v>
          </cell>
          <cell r="AT26">
            <v>0</v>
          </cell>
          <cell r="AU26">
            <v>0</v>
          </cell>
          <cell r="AV26">
            <v>0</v>
          </cell>
        </row>
        <row r="27">
          <cell r="A27" t="str">
            <v>Heet/Al Muhamdee</v>
          </cell>
          <cell r="B27">
            <v>1400</v>
          </cell>
          <cell r="C27">
            <v>8400</v>
          </cell>
          <cell r="D27">
            <v>8</v>
          </cell>
          <cell r="E27">
            <v>2408</v>
          </cell>
          <cell r="F27">
            <v>0.28666666666666668</v>
          </cell>
          <cell r="G27">
            <v>3999</v>
          </cell>
          <cell r="H27">
            <v>0.47607142857142859</v>
          </cell>
          <cell r="I27">
            <v>140</v>
          </cell>
          <cell r="J27">
            <v>3.5008752188047013E-2</v>
          </cell>
          <cell r="K27">
            <v>200</v>
          </cell>
          <cell r="L27">
            <v>0.14285714285714285</v>
          </cell>
          <cell r="M27">
            <v>93</v>
          </cell>
          <cell r="N27" t="str">
            <v>Pipe water (public network)</v>
          </cell>
          <cell r="O27" t="str">
            <v>Yes</v>
          </cell>
          <cell r="P27" t="str">
            <v>Yes</v>
          </cell>
          <cell r="Q27">
            <v>900</v>
          </cell>
          <cell r="R27">
            <v>9</v>
          </cell>
          <cell r="S27" t="str">
            <v>Yes</v>
          </cell>
          <cell r="T27" t="str">
            <v>Yes</v>
          </cell>
          <cell r="U27" t="str">
            <v>Yes</v>
          </cell>
          <cell r="V27" t="str">
            <v>yes</v>
          </cell>
          <cell r="W27" t="str">
            <v>yes</v>
          </cell>
          <cell r="X27" t="str">
            <v>yes</v>
          </cell>
          <cell r="Y27" t="str">
            <v>YES</v>
          </cell>
          <cell r="Z27">
            <v>0</v>
          </cell>
          <cell r="AA27">
            <v>0</v>
          </cell>
          <cell r="AB27">
            <v>602</v>
          </cell>
          <cell r="AC27">
            <v>0.25</v>
          </cell>
          <cell r="AD27">
            <v>70</v>
          </cell>
          <cell r="AE27">
            <v>0.5</v>
          </cell>
          <cell r="AF27">
            <v>900</v>
          </cell>
          <cell r="AG27">
            <v>0.10714285714285714</v>
          </cell>
          <cell r="AH27">
            <v>750</v>
          </cell>
          <cell r="AI27">
            <v>8.9285714285714288E-2</v>
          </cell>
          <cell r="AJ27">
            <v>350</v>
          </cell>
          <cell r="AK27">
            <v>4.1666666666666664E-2</v>
          </cell>
          <cell r="AL27">
            <v>0.5</v>
          </cell>
          <cell r="AM27" t="str">
            <v>Yes</v>
          </cell>
          <cell r="AN27" t="str">
            <v>yes</v>
          </cell>
          <cell r="AO27" t="str">
            <v>Yes</v>
          </cell>
          <cell r="AP27" t="str">
            <v>Yes</v>
          </cell>
          <cell r="AQ27" t="str">
            <v>Yes</v>
          </cell>
          <cell r="AR27" t="str">
            <v>Go to DoH health facilities (hospital and PHC)</v>
          </cell>
          <cell r="AS27" t="str">
            <v>No</v>
          </cell>
          <cell r="AT27">
            <v>0</v>
          </cell>
          <cell r="AU27">
            <v>0</v>
          </cell>
          <cell r="AV27">
            <v>0</v>
          </cell>
        </row>
        <row r="28">
          <cell r="A28" t="str">
            <v>Heet/ Binan</v>
          </cell>
          <cell r="B28">
            <v>70</v>
          </cell>
          <cell r="C28">
            <v>420</v>
          </cell>
          <cell r="D28">
            <v>5</v>
          </cell>
          <cell r="E28">
            <v>69</v>
          </cell>
          <cell r="F28">
            <v>0.16428571428571428</v>
          </cell>
          <cell r="G28">
            <v>114</v>
          </cell>
          <cell r="H28">
            <v>0.27142857142857141</v>
          </cell>
          <cell r="I28">
            <v>7</v>
          </cell>
          <cell r="J28">
            <v>6.1403508771929821E-2</v>
          </cell>
          <cell r="K28">
            <v>14</v>
          </cell>
          <cell r="L28">
            <v>0.2</v>
          </cell>
          <cell r="M28">
            <v>5</v>
          </cell>
          <cell r="N28" t="str">
            <v>Pipe water (public network)</v>
          </cell>
          <cell r="O28" t="str">
            <v>Yes</v>
          </cell>
          <cell r="P28" t="str">
            <v>Yes</v>
          </cell>
          <cell r="Q28">
            <v>50</v>
          </cell>
          <cell r="R28">
            <v>8</v>
          </cell>
          <cell r="S28" t="str">
            <v>Yes</v>
          </cell>
          <cell r="T28" t="str">
            <v>Yes</v>
          </cell>
          <cell r="U28" t="str">
            <v>No</v>
          </cell>
          <cell r="V28" t="str">
            <v>yes</v>
          </cell>
          <cell r="W28" t="str">
            <v>yes</v>
          </cell>
          <cell r="X28" t="str">
            <v>yes</v>
          </cell>
          <cell r="Y28" t="str">
            <v>YES</v>
          </cell>
          <cell r="Z28">
            <v>0</v>
          </cell>
          <cell r="AA28">
            <v>0</v>
          </cell>
          <cell r="AB28">
            <v>42</v>
          </cell>
          <cell r="AC28">
            <v>0.60869565217391308</v>
          </cell>
          <cell r="AD28">
            <v>4</v>
          </cell>
          <cell r="AE28">
            <v>0.5714285714285714</v>
          </cell>
          <cell r="AF28">
            <v>40</v>
          </cell>
          <cell r="AG28">
            <v>9.5238095238095233E-2</v>
          </cell>
          <cell r="AH28">
            <v>50</v>
          </cell>
          <cell r="AI28">
            <v>0.11904761904761904</v>
          </cell>
          <cell r="AJ28">
            <v>17</v>
          </cell>
          <cell r="AK28">
            <v>4.0476190476190478E-2</v>
          </cell>
          <cell r="AL28">
            <v>6</v>
          </cell>
          <cell r="AM28" t="str">
            <v>Partially</v>
          </cell>
          <cell r="AN28" t="str">
            <v>yes</v>
          </cell>
          <cell r="AO28" t="str">
            <v>Yes</v>
          </cell>
          <cell r="AP28" t="str">
            <v>Yes</v>
          </cell>
          <cell r="AQ28" t="str">
            <v>Yes</v>
          </cell>
          <cell r="AR28" t="str">
            <v>Go to DoH health facilities (hospital and PHC)</v>
          </cell>
          <cell r="AS28" t="str">
            <v>No</v>
          </cell>
          <cell r="AT28">
            <v>0</v>
          </cell>
          <cell r="AU28">
            <v>0</v>
          </cell>
          <cell r="AV28">
            <v>0</v>
          </cell>
        </row>
        <row r="29">
          <cell r="A29" t="str">
            <v>Heet /Aqabah</v>
          </cell>
          <cell r="B29">
            <v>331</v>
          </cell>
          <cell r="C29">
            <v>1986</v>
          </cell>
          <cell r="D29">
            <v>25</v>
          </cell>
          <cell r="E29">
            <v>114</v>
          </cell>
          <cell r="F29">
            <v>5.7401812688821753E-2</v>
          </cell>
          <cell r="G29">
            <v>945</v>
          </cell>
          <cell r="H29">
            <v>0.47583081570996977</v>
          </cell>
          <cell r="I29">
            <v>15</v>
          </cell>
          <cell r="J29">
            <v>1.5873015873015872E-2</v>
          </cell>
          <cell r="K29">
            <v>50</v>
          </cell>
          <cell r="L29">
            <v>0.15105740181268881</v>
          </cell>
          <cell r="M29">
            <v>10</v>
          </cell>
          <cell r="N29" t="str">
            <v>Pipe water (public network)</v>
          </cell>
          <cell r="O29" t="str">
            <v>Yes</v>
          </cell>
          <cell r="P29" t="str">
            <v>Yes</v>
          </cell>
          <cell r="Q29">
            <v>160</v>
          </cell>
          <cell r="R29">
            <v>12</v>
          </cell>
          <cell r="S29" t="str">
            <v>Yes</v>
          </cell>
          <cell r="T29" t="str">
            <v>Yes</v>
          </cell>
          <cell r="U29" t="str">
            <v>Yes</v>
          </cell>
          <cell r="V29" t="str">
            <v>yes</v>
          </cell>
          <cell r="W29" t="str">
            <v>NO</v>
          </cell>
          <cell r="X29" t="str">
            <v>yes</v>
          </cell>
          <cell r="Y29" t="str">
            <v>NO</v>
          </cell>
          <cell r="Z29">
            <v>0</v>
          </cell>
          <cell r="AA29">
            <v>0</v>
          </cell>
          <cell r="AB29">
            <v>30</v>
          </cell>
          <cell r="AC29">
            <v>0.26315789473684209</v>
          </cell>
          <cell r="AD29">
            <v>6</v>
          </cell>
          <cell r="AE29">
            <v>0.4</v>
          </cell>
          <cell r="AF29">
            <v>180</v>
          </cell>
          <cell r="AG29">
            <v>9.0634441087613288E-2</v>
          </cell>
          <cell r="AH29">
            <v>200</v>
          </cell>
          <cell r="AI29">
            <v>0.10070493454179255</v>
          </cell>
          <cell r="AJ29">
            <v>20</v>
          </cell>
          <cell r="AK29">
            <v>1.0070493454179255E-2</v>
          </cell>
          <cell r="AL29">
            <v>3</v>
          </cell>
          <cell r="AM29" t="str">
            <v>Partially</v>
          </cell>
          <cell r="AN29" t="str">
            <v>yes</v>
          </cell>
          <cell r="AO29" t="str">
            <v>Yes</v>
          </cell>
          <cell r="AP29" t="str">
            <v>Partially</v>
          </cell>
          <cell r="AQ29" t="str">
            <v>No</v>
          </cell>
          <cell r="AR29" t="str">
            <v>Self medicate</v>
          </cell>
          <cell r="AS29" t="str">
            <v>No</v>
          </cell>
          <cell r="AT29">
            <v>0</v>
          </cell>
          <cell r="AU29">
            <v>0</v>
          </cell>
          <cell r="AV29">
            <v>0</v>
          </cell>
        </row>
        <row r="30">
          <cell r="A30">
            <v>0</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row>
        <row r="31">
          <cell r="A31">
            <v>0</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row>
        <row r="32">
          <cell r="A32">
            <v>0</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row>
        <row r="33">
          <cell r="A33">
            <v>0</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row>
        <row r="34">
          <cell r="A34">
            <v>0</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row>
        <row r="35">
          <cell r="A35">
            <v>0</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row>
        <row r="36">
          <cell r="A36">
            <v>0</v>
          </cell>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row>
        <row r="37">
          <cell r="A37">
            <v>0</v>
          </cell>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row>
        <row r="38">
          <cell r="A38">
            <v>0</v>
          </cell>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row>
        <row r="39">
          <cell r="A39">
            <v>0</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row>
        <row r="40">
          <cell r="A40">
            <v>0</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row>
        <row r="41">
          <cell r="A41">
            <v>0</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row>
        <row r="42">
          <cell r="A42">
            <v>0</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row>
        <row r="43">
          <cell r="A43">
            <v>0</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row>
        <row r="44">
          <cell r="A44">
            <v>0</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row>
        <row r="45">
          <cell r="A45">
            <v>0</v>
          </cell>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row>
        <row r="46">
          <cell r="A46">
            <v>0</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row>
        <row r="47">
          <cell r="A47">
            <v>0</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row>
        <row r="48">
          <cell r="A48">
            <v>0</v>
          </cell>
          <cell r="B48">
            <v>0</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row>
        <row r="49">
          <cell r="A49">
            <v>0</v>
          </cell>
          <cell r="B49">
            <v>0</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row>
        <row r="50">
          <cell r="A50">
            <v>0</v>
          </cell>
          <cell r="B50">
            <v>0</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row>
        <row r="51">
          <cell r="A51">
            <v>0</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row>
        <row r="52">
          <cell r="A52">
            <v>0</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row>
        <row r="53">
          <cell r="A53">
            <v>0</v>
          </cell>
          <cell r="B53">
            <v>0</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row>
        <row r="54">
          <cell r="A54">
            <v>0</v>
          </cell>
          <cell r="B54">
            <v>0</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row>
        <row r="55">
          <cell r="A55">
            <v>0</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row>
        <row r="56">
          <cell r="A56">
            <v>0</v>
          </cell>
          <cell r="B56">
            <v>0</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row>
        <row r="57">
          <cell r="A57">
            <v>0</v>
          </cell>
          <cell r="B57">
            <v>0</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row>
        <row r="58">
          <cell r="A58">
            <v>0</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row>
        <row r="59">
          <cell r="A59">
            <v>0</v>
          </cell>
          <cell r="B59">
            <v>0</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row>
        <row r="60">
          <cell r="A60">
            <v>0</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row>
        <row r="61">
          <cell r="A61">
            <v>0</v>
          </cell>
          <cell r="B61">
            <v>0</v>
          </cell>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row>
        <row r="62">
          <cell r="A62">
            <v>0</v>
          </cell>
          <cell r="B62">
            <v>0</v>
          </cell>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row>
        <row r="63">
          <cell r="A63">
            <v>0</v>
          </cell>
          <cell r="B63">
            <v>0</v>
          </cell>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row>
        <row r="64">
          <cell r="A64">
            <v>0</v>
          </cell>
          <cell r="B64">
            <v>0</v>
          </cell>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row>
        <row r="65">
          <cell r="A65">
            <v>0</v>
          </cell>
          <cell r="B65">
            <v>0</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row>
        <row r="66">
          <cell r="A66">
            <v>0</v>
          </cell>
          <cell r="B66">
            <v>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row>
        <row r="67">
          <cell r="A67">
            <v>0</v>
          </cell>
          <cell r="B67">
            <v>0</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row>
        <row r="68">
          <cell r="A68">
            <v>0</v>
          </cell>
          <cell r="B68">
            <v>0</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row>
        <row r="69">
          <cell r="A69">
            <v>0</v>
          </cell>
          <cell r="B69">
            <v>0</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row>
        <row r="70">
          <cell r="A70">
            <v>0</v>
          </cell>
          <cell r="B70">
            <v>0</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row>
        <row r="71">
          <cell r="A71">
            <v>0</v>
          </cell>
          <cell r="B71">
            <v>0</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row>
        <row r="72">
          <cell r="A72">
            <v>0</v>
          </cell>
          <cell r="B72">
            <v>0</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row>
        <row r="73">
          <cell r="A73">
            <v>0</v>
          </cell>
          <cell r="B73">
            <v>0</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row>
        <row r="74">
          <cell r="A74">
            <v>0</v>
          </cell>
          <cell r="B74">
            <v>0</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row>
        <row r="75">
          <cell r="A75">
            <v>0</v>
          </cell>
          <cell r="B75">
            <v>0</v>
          </cell>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row>
        <row r="76">
          <cell r="A76">
            <v>0</v>
          </cell>
          <cell r="B76">
            <v>0</v>
          </cell>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row>
        <row r="77">
          <cell r="A77">
            <v>0</v>
          </cell>
          <cell r="B77">
            <v>0</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row>
        <row r="78">
          <cell r="A78">
            <v>0</v>
          </cell>
          <cell r="B78">
            <v>0</v>
          </cell>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row>
        <row r="79">
          <cell r="A79">
            <v>0</v>
          </cell>
          <cell r="B79">
            <v>0</v>
          </cell>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row>
        <row r="80">
          <cell r="A80">
            <v>0</v>
          </cell>
          <cell r="B80">
            <v>0</v>
          </cell>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row>
        <row r="81">
          <cell r="A81">
            <v>0</v>
          </cell>
          <cell r="B81">
            <v>0</v>
          </cell>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row>
        <row r="82">
          <cell r="A82">
            <v>0</v>
          </cell>
          <cell r="B82">
            <v>0</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row>
        <row r="83">
          <cell r="A83">
            <v>0</v>
          </cell>
          <cell r="B83">
            <v>0</v>
          </cell>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row>
        <row r="84">
          <cell r="A84">
            <v>0</v>
          </cell>
          <cell r="B84">
            <v>0</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row>
        <row r="85">
          <cell r="A85">
            <v>0</v>
          </cell>
          <cell r="B85">
            <v>0</v>
          </cell>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row>
        <row r="86">
          <cell r="A86">
            <v>0</v>
          </cell>
          <cell r="B86">
            <v>0</v>
          </cell>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row>
        <row r="87">
          <cell r="A87">
            <v>0</v>
          </cell>
          <cell r="B87">
            <v>0</v>
          </cell>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row>
        <row r="88">
          <cell r="A88">
            <v>0</v>
          </cell>
          <cell r="B88">
            <v>0</v>
          </cell>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row>
        <row r="89">
          <cell r="A89">
            <v>0</v>
          </cell>
          <cell r="B89">
            <v>0</v>
          </cell>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row>
        <row r="90">
          <cell r="A90">
            <v>0</v>
          </cell>
          <cell r="B90">
            <v>0</v>
          </cell>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row>
        <row r="91">
          <cell r="A91">
            <v>0</v>
          </cell>
          <cell r="B91">
            <v>0</v>
          </cell>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row>
        <row r="92">
          <cell r="A92">
            <v>0</v>
          </cell>
          <cell r="B92">
            <v>0</v>
          </cell>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row>
        <row r="93">
          <cell r="A93">
            <v>0</v>
          </cell>
          <cell r="B93">
            <v>0</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row>
        <row r="94">
          <cell r="A94">
            <v>0</v>
          </cell>
          <cell r="B94">
            <v>0</v>
          </cell>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row>
        <row r="95">
          <cell r="A95">
            <v>0</v>
          </cell>
          <cell r="B95">
            <v>0</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row>
        <row r="96">
          <cell r="A96">
            <v>0</v>
          </cell>
          <cell r="B96">
            <v>0</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row>
        <row r="97">
          <cell r="A97">
            <v>0</v>
          </cell>
          <cell r="B97">
            <v>0</v>
          </cell>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row>
        <row r="98">
          <cell r="A98">
            <v>0</v>
          </cell>
          <cell r="B98">
            <v>0</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row>
        <row r="99">
          <cell r="A99">
            <v>0</v>
          </cell>
          <cell r="B99">
            <v>0</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row>
      </sheetData>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Parameters"/>
      <sheetName val="2 Assumptions"/>
      <sheetName val="3 COSTS COLLECTION"/>
      <sheetName val="4 RECAP ACCOUNT"/>
      <sheetName val="5 RECAP FIN LINE"/>
      <sheetName val="6 RECAP Z1"/>
      <sheetName val="7 ReadMe"/>
      <sheetName val="Budget Line Item"/>
      <sheetName val="BI PlanFinFunct 2011"/>
      <sheetName val="1_Parameters"/>
      <sheetName val="2_Assumptions"/>
      <sheetName val="3_COSTS_COLLECTION"/>
      <sheetName val="4_RECAP_ACCOUNT"/>
      <sheetName val="5_RECAP_FIN_LINE"/>
      <sheetName val="6_RECAP_Z1"/>
      <sheetName val="7_ReadMe"/>
      <sheetName val="Budget_Line_Item"/>
      <sheetName val="BI_PlanFinFunct_2011"/>
      <sheetName val="5_Budget"/>
    </sheetNames>
    <sheetDataSet>
      <sheetData sheetId="0">
        <row r="6">
          <cell r="AR6" t="str">
            <v>OFFICE</v>
          </cell>
          <cell r="AX6">
            <v>6502</v>
          </cell>
          <cell r="AY6" t="str">
            <v>WRONG SELECTION</v>
          </cell>
        </row>
        <row r="7">
          <cell r="AR7" t="str">
            <v>Gal ADMIN</v>
          </cell>
          <cell r="AX7" t="str">
            <v>RENTAL</v>
          </cell>
        </row>
        <row r="8">
          <cell r="AR8" t="str">
            <v>2x4</v>
          </cell>
          <cell r="AX8" t="str">
            <v>REHAB</v>
          </cell>
        </row>
        <row r="9">
          <cell r="AR9" t="str">
            <v>4x4</v>
          </cell>
          <cell r="AX9" t="str">
            <v>CHARGES</v>
          </cell>
        </row>
        <row r="10">
          <cell r="AR10" t="str">
            <v>TRUCK</v>
          </cell>
          <cell r="AX10" t="str">
            <v>EQUIP</v>
          </cell>
        </row>
        <row r="11">
          <cell r="AR11" t="str">
            <v>MOTO</v>
          </cell>
          <cell r="AX11" t="str">
            <v>STATIONARIES</v>
          </cell>
        </row>
        <row r="12">
          <cell r="AR12" t="str">
            <v>BOAT</v>
          </cell>
          <cell r="AX12" t="str">
            <v>OTHER</v>
          </cell>
        </row>
        <row r="13">
          <cell r="AR13" t="str">
            <v>OTHER Transp</v>
          </cell>
        </row>
        <row r="14">
          <cell r="AR14" t="str">
            <v>COMPUTER</v>
          </cell>
          <cell r="AX14">
            <v>6503</v>
          </cell>
          <cell r="AY14" t="str">
            <v>WRONG SELECTION</v>
          </cell>
        </row>
        <row r="15">
          <cell r="AR15" t="str">
            <v>COMMUNICATION</v>
          </cell>
          <cell r="AX15" t="str">
            <v>POST-MAIL</v>
          </cell>
        </row>
        <row r="16">
          <cell r="AR16" t="str">
            <v>RADIO</v>
          </cell>
          <cell r="AX16" t="str">
            <v>PUBLIC REL.</v>
          </cell>
        </row>
        <row r="17">
          <cell r="AR17" t="str">
            <v>OTHER EQPMT</v>
          </cell>
          <cell r="AX17" t="str">
            <v>ADMIN COSTS</v>
          </cell>
        </row>
        <row r="18">
          <cell r="AR18" t="str">
            <v>STORAGE</v>
          </cell>
          <cell r="AX18" t="str">
            <v>FIN. CHARGES</v>
          </cell>
        </row>
        <row r="19">
          <cell r="AR19" t="str">
            <v>PROGRAM COSTS</v>
          </cell>
          <cell r="AX19" t="str">
            <v>OTHER</v>
          </cell>
        </row>
        <row r="21">
          <cell r="AX21">
            <v>6504</v>
          </cell>
          <cell r="AY21" t="str">
            <v>WRONG SELECTION</v>
          </cell>
        </row>
        <row r="22">
          <cell r="AX22" t="str">
            <v>PURCHASE</v>
          </cell>
          <cell r="AY22" t="str">
            <v>EQPT PURCHASE</v>
          </cell>
        </row>
        <row r="23">
          <cell r="AX23" t="str">
            <v>FUEL</v>
          </cell>
        </row>
        <row r="24">
          <cell r="AX24" t="str">
            <v>MAINTENANCE</v>
          </cell>
        </row>
        <row r="25">
          <cell r="AX25" t="str">
            <v>INSURANCE</v>
          </cell>
        </row>
        <row r="26">
          <cell r="AX26" t="str">
            <v>RENTAL</v>
          </cell>
        </row>
        <row r="27">
          <cell r="AX27" t="str">
            <v>DEPRECIATION (DONOR)</v>
          </cell>
        </row>
        <row r="28">
          <cell r="AX28" t="str">
            <v>AMORTISSMENT ACF</v>
          </cell>
        </row>
        <row r="30">
          <cell r="AX30">
            <v>6505</v>
          </cell>
          <cell r="AY30" t="str">
            <v>WRONG SELECTION</v>
          </cell>
        </row>
        <row r="31">
          <cell r="AX31" t="str">
            <v>PURCHASE</v>
          </cell>
          <cell r="AY31" t="str">
            <v>EQPT PURCHASE</v>
          </cell>
        </row>
        <row r="32">
          <cell r="AX32" t="str">
            <v>FUEL</v>
          </cell>
        </row>
        <row r="33">
          <cell r="AX33" t="str">
            <v>MAINTENANCE</v>
          </cell>
        </row>
        <row r="34">
          <cell r="AX34" t="str">
            <v>INSURANCE</v>
          </cell>
        </row>
        <row r="35">
          <cell r="AX35" t="str">
            <v>RENTAL</v>
          </cell>
        </row>
        <row r="36">
          <cell r="AX36" t="str">
            <v>DEPRECIATION (DONOR)</v>
          </cell>
        </row>
        <row r="37">
          <cell r="AX37" t="str">
            <v>AMORTISSMENT ACF</v>
          </cell>
        </row>
        <row r="39">
          <cell r="AX39">
            <v>6506</v>
          </cell>
          <cell r="AY39" t="str">
            <v>WRONG SELECTION</v>
          </cell>
        </row>
        <row r="40">
          <cell r="AX40" t="str">
            <v>PURCHASE</v>
          </cell>
          <cell r="AY40" t="str">
            <v>EQPT PURCHASE</v>
          </cell>
        </row>
        <row r="41">
          <cell r="AX41" t="str">
            <v>FUEL</v>
          </cell>
        </row>
        <row r="42">
          <cell r="AX42" t="str">
            <v>MAINTENANCE</v>
          </cell>
        </row>
        <row r="43">
          <cell r="AX43" t="str">
            <v>INSURANCE</v>
          </cell>
        </row>
        <row r="44">
          <cell r="AX44" t="str">
            <v>RENTAL</v>
          </cell>
        </row>
        <row r="45">
          <cell r="AX45" t="str">
            <v>DEPRECIATION (DONOR)</v>
          </cell>
        </row>
        <row r="46">
          <cell r="AX46" t="str">
            <v>AMORTISSMENT ACF</v>
          </cell>
        </row>
        <row r="48">
          <cell r="AX48">
            <v>6507</v>
          </cell>
          <cell r="AY48" t="str">
            <v>WRONG SELECTION</v>
          </cell>
        </row>
        <row r="49">
          <cell r="AX49" t="str">
            <v>PURCHASE</v>
          </cell>
          <cell r="AY49" t="str">
            <v>EQPT PURCHASE</v>
          </cell>
        </row>
        <row r="50">
          <cell r="AX50" t="str">
            <v>FUEL</v>
          </cell>
        </row>
        <row r="51">
          <cell r="AX51" t="str">
            <v>MAINTENANCE</v>
          </cell>
        </row>
        <row r="52">
          <cell r="AX52" t="str">
            <v>INSURANCE</v>
          </cell>
        </row>
        <row r="53">
          <cell r="AX53" t="str">
            <v>RENTAL</v>
          </cell>
        </row>
        <row r="54">
          <cell r="AX54" t="str">
            <v>DEPRECIATION (DONOR)</v>
          </cell>
        </row>
        <row r="55">
          <cell r="AX55" t="str">
            <v>AMORTISSMENT ACF</v>
          </cell>
        </row>
        <row r="57">
          <cell r="AX57">
            <v>6508</v>
          </cell>
          <cell r="AY57" t="str">
            <v>WRONG SELECTION</v>
          </cell>
        </row>
        <row r="58">
          <cell r="AX58" t="str">
            <v>PURCHASE</v>
          </cell>
          <cell r="AY58" t="str">
            <v>EQPT PURCHASE</v>
          </cell>
        </row>
        <row r="59">
          <cell r="AX59" t="str">
            <v>FUEL</v>
          </cell>
        </row>
        <row r="60">
          <cell r="AX60" t="str">
            <v>MAINTENANCE</v>
          </cell>
        </row>
        <row r="61">
          <cell r="AX61" t="str">
            <v>INSURANCE</v>
          </cell>
        </row>
        <row r="62">
          <cell r="AX62" t="str">
            <v>RENTAL</v>
          </cell>
        </row>
        <row r="63">
          <cell r="AX63" t="str">
            <v>DEPRECIATION (DONOR)</v>
          </cell>
        </row>
        <row r="64">
          <cell r="AX64" t="str">
            <v>AMORTISSMENT ACF</v>
          </cell>
        </row>
        <row r="66">
          <cell r="AX66">
            <v>6509</v>
          </cell>
          <cell r="AY66" t="str">
            <v>WRONG SELECTION</v>
          </cell>
        </row>
        <row r="67">
          <cell r="AX67" t="str">
            <v>OTHER</v>
          </cell>
        </row>
        <row r="69">
          <cell r="AX69">
            <v>6510</v>
          </cell>
        </row>
        <row r="70">
          <cell r="AX70" t="str">
            <v>LAPTOP</v>
          </cell>
          <cell r="AY70" t="str">
            <v>EQPT PURCHASE</v>
          </cell>
        </row>
        <row r="71">
          <cell r="AX71" t="str">
            <v>DESKTOP</v>
          </cell>
          <cell r="AY71" t="str">
            <v>EQPT PURCHASE</v>
          </cell>
        </row>
        <row r="72">
          <cell r="AX72" t="str">
            <v>PRINTER</v>
          </cell>
          <cell r="AY72" t="str">
            <v>EQPT PURCHASE</v>
          </cell>
        </row>
        <row r="73">
          <cell r="AX73" t="str">
            <v>OTHER PURCHASE</v>
          </cell>
          <cell r="AY73" t="str">
            <v>EQPT PURCHASE</v>
          </cell>
        </row>
        <row r="74">
          <cell r="AX74" t="str">
            <v>MAINTENANCE</v>
          </cell>
        </row>
        <row r="76">
          <cell r="AX76">
            <v>6511</v>
          </cell>
          <cell r="AY76" t="str">
            <v>WRONG SELECTION</v>
          </cell>
        </row>
        <row r="77">
          <cell r="AX77" t="str">
            <v>SATPHONE PURCHASE</v>
          </cell>
          <cell r="AY77" t="str">
            <v>EQPT PURCHASE</v>
          </cell>
        </row>
        <row r="78">
          <cell r="AX78" t="str">
            <v>MOBILEPHONE PURCHASE</v>
          </cell>
          <cell r="AY78" t="str">
            <v>EQPT PURCHASE</v>
          </cell>
        </row>
        <row r="79">
          <cell r="AX79" t="str">
            <v>OTHER PURCHASE</v>
          </cell>
          <cell r="AY79" t="str">
            <v>EQPT PURCHASE</v>
          </cell>
        </row>
        <row r="80">
          <cell r="AX80" t="str">
            <v>MAINTENANCE</v>
          </cell>
        </row>
        <row r="81">
          <cell r="AX81" t="str">
            <v>FIX LINES RUN COSTS</v>
          </cell>
        </row>
        <row r="82">
          <cell r="AX82" t="str">
            <v>MOBILEPHONE RUN. COSTS</v>
          </cell>
        </row>
        <row r="83">
          <cell r="AX83" t="str">
            <v>SATPHONE RUN. COSTS</v>
          </cell>
        </row>
        <row r="84">
          <cell r="AX84" t="str">
            <v>DEPRECIATION (DONOR)</v>
          </cell>
        </row>
        <row r="85">
          <cell r="AX85" t="str">
            <v>AMORTISSMENT ACF</v>
          </cell>
        </row>
        <row r="87">
          <cell r="AX87">
            <v>6512</v>
          </cell>
          <cell r="AY87" t="str">
            <v>WRONG SELECTION</v>
          </cell>
        </row>
        <row r="88">
          <cell r="AX88" t="str">
            <v>HF PURCHASE</v>
          </cell>
          <cell r="AY88" t="str">
            <v>EQPT PURCHASE</v>
          </cell>
        </row>
        <row r="89">
          <cell r="AX89" t="str">
            <v>VHF PURCHASE</v>
          </cell>
          <cell r="AY89" t="str">
            <v>EQPT PURCHASE</v>
          </cell>
        </row>
        <row r="90">
          <cell r="AX90" t="str">
            <v>OTHER PURCHASE</v>
          </cell>
          <cell r="AY90" t="str">
            <v>EQPT PURCHASE</v>
          </cell>
        </row>
        <row r="91">
          <cell r="AX91" t="str">
            <v>ADMIN COSTS</v>
          </cell>
        </row>
        <row r="92">
          <cell r="AX92" t="str">
            <v>OTHER RUN. COSTS</v>
          </cell>
        </row>
        <row r="93">
          <cell r="AX93" t="str">
            <v>DEPRECIATION (DONOR)</v>
          </cell>
        </row>
        <row r="94">
          <cell r="AX94" t="str">
            <v>AMORTISSMENT ACF</v>
          </cell>
        </row>
        <row r="96">
          <cell r="AX96">
            <v>6513</v>
          </cell>
          <cell r="AY96" t="str">
            <v>WRONG SELECTION</v>
          </cell>
        </row>
        <row r="97">
          <cell r="AX97" t="str">
            <v>GENERATOR PURCHASE</v>
          </cell>
          <cell r="AY97" t="str">
            <v>EQPT PURCHASE</v>
          </cell>
        </row>
        <row r="98">
          <cell r="AX98" t="str">
            <v>FUEL GENERATOR</v>
          </cell>
        </row>
        <row r="99">
          <cell r="AX99" t="str">
            <v>MAINTENANCE GENERATOR</v>
          </cell>
        </row>
        <row r="100">
          <cell r="AX100" t="str">
            <v>OTHER PURCHASE</v>
          </cell>
          <cell r="AY100" t="str">
            <v>EQPT PURCHASE</v>
          </cell>
        </row>
        <row r="101">
          <cell r="AX101" t="str">
            <v>OTHER RUN. COSTS</v>
          </cell>
        </row>
        <row r="102">
          <cell r="AX102" t="str">
            <v>DEPRECIATION (DONOR)</v>
          </cell>
        </row>
        <row r="103">
          <cell r="AX103" t="str">
            <v>AMORTISSMENT ACF</v>
          </cell>
        </row>
        <row r="105">
          <cell r="AX105">
            <v>6514</v>
          </cell>
          <cell r="AY105" t="str">
            <v>WRONG SELECTION</v>
          </cell>
        </row>
        <row r="106">
          <cell r="AX106" t="str">
            <v>RENTAL</v>
          </cell>
        </row>
        <row r="107">
          <cell r="AX107" t="str">
            <v>REHAB</v>
          </cell>
        </row>
        <row r="108">
          <cell r="AX108" t="str">
            <v>CHARGES</v>
          </cell>
        </row>
        <row r="109">
          <cell r="AX109" t="str">
            <v>OTHER</v>
          </cell>
        </row>
        <row r="111">
          <cell r="AX111">
            <v>6523</v>
          </cell>
          <cell r="AY111" t="str">
            <v>WRONG SELECTION</v>
          </cell>
        </row>
        <row r="112">
          <cell r="AX112" t="str">
            <v>OTHER PROG COSTS</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MMAIRE"/>
      <sheetName val="PARAMETRES"/>
      <sheetName val="DETAILS COUTS EXPATS"/>
      <sheetName val="PLAN FI EXPATS"/>
      <sheetName val="SYNTHESE BUD"/>
      <sheetName val="RECAP Z1"/>
      <sheetName val="Lists"/>
      <sheetName val="1 Parameters"/>
      <sheetName val="5.1 Budget partners"/>
      <sheetName val="DETAILS_COUTS_EXPATS"/>
      <sheetName val="PLAN_FI_EXPATS"/>
      <sheetName val="SYNTHESE_BUD"/>
      <sheetName val="RECAP_Z1"/>
      <sheetName val="Journal"/>
    </sheetNames>
    <sheetDataSet>
      <sheetData sheetId="0"/>
      <sheetData sheetId="1">
        <row r="3">
          <cell r="C3" t="str">
            <v>KABUL</v>
          </cell>
          <cell r="AD3" t="str">
            <v>S</v>
          </cell>
        </row>
        <row r="4">
          <cell r="E4" t="str">
            <v>KLC01</v>
          </cell>
          <cell r="AD4" t="str">
            <v>V</v>
          </cell>
        </row>
        <row r="5">
          <cell r="E5" t="str">
            <v>KLN01</v>
          </cell>
        </row>
        <row r="6">
          <cell r="E6" t="str">
            <v>KLF01</v>
          </cell>
        </row>
        <row r="7">
          <cell r="E7" t="str">
            <v>KLH01</v>
          </cell>
        </row>
        <row r="8">
          <cell r="E8" t="str">
            <v>TAC01</v>
          </cell>
        </row>
        <row r="9">
          <cell r="E9" t="str">
            <v>TAF01</v>
          </cell>
        </row>
        <row r="10">
          <cell r="E10" t="str">
            <v>TAH01</v>
          </cell>
        </row>
        <row r="11">
          <cell r="E11" t="str">
            <v>HZC01</v>
          </cell>
        </row>
        <row r="12">
          <cell r="E12" t="str">
            <v>HZM01</v>
          </cell>
        </row>
        <row r="13">
          <cell r="E13" t="str">
            <v>HZF01</v>
          </cell>
        </row>
        <row r="14">
          <cell r="E14" t="str">
            <v>HZH01</v>
          </cell>
        </row>
        <row r="15">
          <cell r="E15" t="str">
            <v>PROJET12</v>
          </cell>
        </row>
        <row r="16">
          <cell r="E16" t="str">
            <v>PROJET13</v>
          </cell>
        </row>
        <row r="17">
          <cell r="E17" t="str">
            <v>PROJET14</v>
          </cell>
        </row>
        <row r="18">
          <cell r="E18" t="str">
            <v>PROJET15</v>
          </cell>
        </row>
        <row r="19">
          <cell r="E19" t="str">
            <v>PROJET16</v>
          </cell>
        </row>
        <row r="20">
          <cell r="E20" t="str">
            <v>PROJET17</v>
          </cell>
        </row>
        <row r="21">
          <cell r="E21" t="str">
            <v>PROJET18</v>
          </cell>
        </row>
        <row r="22">
          <cell r="E22" t="str">
            <v>PROJET19</v>
          </cell>
        </row>
        <row r="23">
          <cell r="E23" t="str">
            <v>PROJET20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ournal"/>
      <sheetName val="JVCFORM"/>
      <sheetName val="JVCFORM.XLS"/>
      <sheetName val="PARAMETRES"/>
      <sheetName val="Lists"/>
      <sheetName val="1 Parameters"/>
      <sheetName val="5.1 Budget partners"/>
      <sheetName val="JVCFORM_XLS"/>
      <sheetName val="5_Budget"/>
    </sheetNames>
    <sheetDataSet>
      <sheetData sheetId="0">
        <row r="6">
          <cell r="A6">
            <v>1</v>
          </cell>
          <cell r="B6" t="str">
            <v>15100-PA-WGE-00000</v>
          </cell>
          <cell r="C6">
            <v>-874.84</v>
          </cell>
        </row>
        <row r="7">
          <cell r="A7">
            <v>3</v>
          </cell>
          <cell r="B7" t="str">
            <v>15100-PC-NPL-00000</v>
          </cell>
          <cell r="C7">
            <v>-19305.5</v>
          </cell>
        </row>
        <row r="8">
          <cell r="A8">
            <v>5</v>
          </cell>
          <cell r="B8" t="str">
            <v>15100-PJ-ECA-00000</v>
          </cell>
          <cell r="C8">
            <v>-5000</v>
          </cell>
        </row>
        <row r="9">
          <cell r="A9">
            <v>7</v>
          </cell>
          <cell r="B9" t="str">
            <v>15100-PP-ARM-00000</v>
          </cell>
          <cell r="C9">
            <v>-50</v>
          </cell>
        </row>
        <row r="10">
          <cell r="A10">
            <v>9</v>
          </cell>
          <cell r="B10" t="str">
            <v>15100-QL-ZAA-00000</v>
          </cell>
          <cell r="C10">
            <v>-16514.759999999998</v>
          </cell>
        </row>
        <row r="11">
          <cell r="A11">
            <v>11</v>
          </cell>
          <cell r="B11" t="str">
            <v>15100-QL-ZAB-00000</v>
          </cell>
          <cell r="C11">
            <v>-5457.07</v>
          </cell>
        </row>
        <row r="12">
          <cell r="A12">
            <v>13</v>
          </cell>
          <cell r="B12" t="str">
            <v>15100-QL-ZAC-00000</v>
          </cell>
          <cell r="C12">
            <v>-13332.3</v>
          </cell>
        </row>
        <row r="13">
          <cell r="A13">
            <v>15</v>
          </cell>
          <cell r="B13" t="str">
            <v>15100-QL-ZAD-00000</v>
          </cell>
          <cell r="C13">
            <v>-5141.62</v>
          </cell>
        </row>
        <row r="14">
          <cell r="A14">
            <v>17</v>
          </cell>
          <cell r="B14" t="str">
            <v>15100-QN-RWA-00000</v>
          </cell>
          <cell r="C14">
            <v>-0.01</v>
          </cell>
        </row>
        <row r="15">
          <cell r="A15">
            <v>19</v>
          </cell>
          <cell r="B15" t="str">
            <v>15100-QN-ZAK-00000</v>
          </cell>
          <cell r="C15">
            <v>-462.89</v>
          </cell>
        </row>
        <row r="16">
          <cell r="A16">
            <v>21</v>
          </cell>
          <cell r="B16" t="str">
            <v>15100-RB-UPD-00000</v>
          </cell>
          <cell r="C16">
            <v>-1114</v>
          </cell>
        </row>
        <row r="17">
          <cell r="A17">
            <v>23</v>
          </cell>
          <cell r="B17" t="str">
            <v>15100-RC-DXG-00000</v>
          </cell>
          <cell r="C17">
            <v>-652.16999999999996</v>
          </cell>
        </row>
        <row r="18">
          <cell r="A18">
            <v>25</v>
          </cell>
          <cell r="B18" t="str">
            <v>15100-RD-TNU-00000</v>
          </cell>
          <cell r="C18">
            <v>-4348.26</v>
          </cell>
        </row>
        <row r="19">
          <cell r="A19">
            <v>27</v>
          </cell>
          <cell r="B19" t="str">
            <v>15100-RG-ORS-00000</v>
          </cell>
          <cell r="C19">
            <v>-339</v>
          </cell>
        </row>
        <row r="20">
          <cell r="A20">
            <v>29</v>
          </cell>
          <cell r="B20" t="str">
            <v>15100-RH-APD-00000</v>
          </cell>
          <cell r="C20">
            <v>-170.17</v>
          </cell>
        </row>
        <row r="21">
          <cell r="A21">
            <v>31</v>
          </cell>
          <cell r="B21" t="str">
            <v>15100-RH-KNN-00000</v>
          </cell>
          <cell r="C21">
            <v>-2518</v>
          </cell>
        </row>
        <row r="22">
          <cell r="A22">
            <v>33</v>
          </cell>
          <cell r="B22" t="str">
            <v>15100-RJ-BIH-00000</v>
          </cell>
          <cell r="C22">
            <v>-983.59</v>
          </cell>
        </row>
        <row r="23">
          <cell r="A23">
            <v>35</v>
          </cell>
          <cell r="B23" t="str">
            <v>15100-RP-MAH-00000</v>
          </cell>
          <cell r="C23">
            <v>-6879.41</v>
          </cell>
        </row>
        <row r="24">
          <cell r="A24">
            <v>37</v>
          </cell>
          <cell r="B24" t="str">
            <v>15100-RP-MPD-00000</v>
          </cell>
          <cell r="C24">
            <v>-20.079999999999998</v>
          </cell>
        </row>
        <row r="25">
          <cell r="A25">
            <v>39</v>
          </cell>
          <cell r="B25" t="str">
            <v>15100-RS-PKN-00000</v>
          </cell>
          <cell r="C25">
            <v>-352.22</v>
          </cell>
        </row>
        <row r="26">
          <cell r="A26">
            <v>41</v>
          </cell>
          <cell r="B26" t="str">
            <v>15100-RT-BGD-00000</v>
          </cell>
          <cell r="C26">
            <v>-5256.06</v>
          </cell>
        </row>
        <row r="27">
          <cell r="A27">
            <v>43</v>
          </cell>
          <cell r="B27" t="str">
            <v>15100-SA-IDS-00000</v>
          </cell>
          <cell r="C27">
            <v>-1360.48</v>
          </cell>
        </row>
        <row r="28">
          <cell r="A28">
            <v>45</v>
          </cell>
          <cell r="B28" t="str">
            <v>15100-SD-PHL-00000</v>
          </cell>
          <cell r="C28">
            <v>-178.62</v>
          </cell>
        </row>
        <row r="29">
          <cell r="A29">
            <v>47</v>
          </cell>
          <cell r="B29" t="str">
            <v>15100-TD-CRP-00000</v>
          </cell>
          <cell r="C29">
            <v>-5305.19</v>
          </cell>
        </row>
        <row r="30">
          <cell r="A30">
            <v>49</v>
          </cell>
          <cell r="B30" t="str">
            <v>15100-UE-YEM-00000</v>
          </cell>
          <cell r="C30">
            <v>-1145.93</v>
          </cell>
        </row>
        <row r="31">
          <cell r="A31">
            <v>51</v>
          </cell>
          <cell r="B31" t="str">
            <v>15100-UG-LEB-00000</v>
          </cell>
          <cell r="C31">
            <v>-1683</v>
          </cell>
        </row>
        <row r="32">
          <cell r="A32">
            <v>53</v>
          </cell>
          <cell r="B32" t="str">
            <v>15100-VB-GNB-00000</v>
          </cell>
          <cell r="C32">
            <v>-357</v>
          </cell>
        </row>
        <row r="33">
          <cell r="A33">
            <v>55</v>
          </cell>
          <cell r="B33" t="str">
            <v>15100-VB-SEN-00000</v>
          </cell>
          <cell r="C33">
            <v>-63140.13</v>
          </cell>
        </row>
        <row r="34">
          <cell r="A34">
            <v>57</v>
          </cell>
          <cell r="B34" t="str">
            <v>15100-VC-ERI-00000</v>
          </cell>
          <cell r="C34">
            <v>-0.05</v>
          </cell>
        </row>
        <row r="35">
          <cell r="A35">
            <v>59</v>
          </cell>
          <cell r="B35" t="str">
            <v>15100-VF-SOM-00000</v>
          </cell>
          <cell r="C35">
            <v>-611.95000000000005</v>
          </cell>
        </row>
        <row r="36">
          <cell r="A36">
            <v>61</v>
          </cell>
          <cell r="B36" t="str">
            <v>15100-VM-SDT-00000</v>
          </cell>
          <cell r="C36">
            <v>-0.04</v>
          </cell>
        </row>
        <row r="37">
          <cell r="A37">
            <v>63</v>
          </cell>
          <cell r="B37" t="str">
            <v>16100-PA-WGE-00000</v>
          </cell>
          <cell r="C37">
            <v>-2670.19</v>
          </cell>
        </row>
        <row r="38">
          <cell r="A38">
            <v>65</v>
          </cell>
          <cell r="B38" t="str">
            <v>16100-PC-AZB-00000</v>
          </cell>
          <cell r="C38">
            <v>-50.15</v>
          </cell>
        </row>
        <row r="39">
          <cell r="A39">
            <v>67</v>
          </cell>
          <cell r="B39" t="str">
            <v>16100-PC-GUI-00000</v>
          </cell>
          <cell r="C39">
            <v>-16944.849999999999</v>
          </cell>
        </row>
        <row r="40">
          <cell r="A40">
            <v>69</v>
          </cell>
          <cell r="B40" t="str">
            <v>16100-PC-KEN-00000</v>
          </cell>
          <cell r="C40">
            <v>-3573.33</v>
          </cell>
        </row>
        <row r="41">
          <cell r="A41">
            <v>71</v>
          </cell>
          <cell r="B41" t="str">
            <v>16100-PC-MAH-00000</v>
          </cell>
          <cell r="C41">
            <v>-1796.1</v>
          </cell>
        </row>
        <row r="42">
          <cell r="A42">
            <v>73</v>
          </cell>
          <cell r="B42" t="str">
            <v>16100-PC-SDS-00000</v>
          </cell>
          <cell r="C42">
            <v>-0.02</v>
          </cell>
        </row>
        <row r="43">
          <cell r="A43">
            <v>75</v>
          </cell>
          <cell r="B43" t="str">
            <v>16100-PC-SDW-00000</v>
          </cell>
          <cell r="C43">
            <v>-362.01</v>
          </cell>
        </row>
        <row r="44">
          <cell r="A44">
            <v>77</v>
          </cell>
          <cell r="B44" t="str">
            <v>16100-PC-UGA-00000</v>
          </cell>
          <cell r="C44">
            <v>-15296.51</v>
          </cell>
        </row>
        <row r="45">
          <cell r="A45">
            <v>79</v>
          </cell>
          <cell r="B45" t="str">
            <v>16100-PQ-ALB-00000</v>
          </cell>
          <cell r="C45">
            <v>-1748.02</v>
          </cell>
        </row>
        <row r="46">
          <cell r="A46">
            <v>81</v>
          </cell>
          <cell r="B46" t="str">
            <v>16100-QL-ZAA-00000</v>
          </cell>
          <cell r="C46">
            <v>-2555.69</v>
          </cell>
        </row>
        <row r="47">
          <cell r="A47">
            <v>83</v>
          </cell>
          <cell r="B47" t="str">
            <v>16100-QL-ZAC-00000</v>
          </cell>
          <cell r="C47">
            <v>-914.56</v>
          </cell>
        </row>
        <row r="48">
          <cell r="A48">
            <v>85</v>
          </cell>
          <cell r="B48" t="str">
            <v>16100-RB-UPD-00000</v>
          </cell>
          <cell r="C48">
            <v>-834.2</v>
          </cell>
        </row>
        <row r="49">
          <cell r="A49">
            <v>87</v>
          </cell>
          <cell r="B49" t="str">
            <v>16100-RJ-ASM-00000</v>
          </cell>
          <cell r="C49">
            <v>-369.12</v>
          </cell>
        </row>
        <row r="50">
          <cell r="A50">
            <v>89</v>
          </cell>
          <cell r="B50" t="str">
            <v>16100-RJ-IEG-00000</v>
          </cell>
          <cell r="C50">
            <v>-1077.72</v>
          </cell>
        </row>
        <row r="51">
          <cell r="A51">
            <v>91</v>
          </cell>
          <cell r="B51" t="str">
            <v>16100-RL-NPL-00000</v>
          </cell>
          <cell r="C51">
            <v>-987.69</v>
          </cell>
        </row>
        <row r="52">
          <cell r="A52">
            <v>93</v>
          </cell>
          <cell r="B52" t="str">
            <v>16100-RS-AGN-00000</v>
          </cell>
          <cell r="C52">
            <v>-12134.46</v>
          </cell>
        </row>
        <row r="53">
          <cell r="A53">
            <v>95</v>
          </cell>
          <cell r="B53" t="str">
            <v>16100-SB-RVN-00000</v>
          </cell>
          <cell r="C53">
            <v>-0.03</v>
          </cell>
        </row>
        <row r="54">
          <cell r="A54">
            <v>97</v>
          </cell>
          <cell r="B54" t="str">
            <v>16100-UH-WAG-00000</v>
          </cell>
          <cell r="C54">
            <v>-45.5</v>
          </cell>
        </row>
        <row r="55">
          <cell r="A55">
            <v>99</v>
          </cell>
          <cell r="B55" t="str">
            <v>16100-VF-SOM-00000</v>
          </cell>
          <cell r="C55">
            <v>-5148.3999999999996</v>
          </cell>
        </row>
        <row r="56">
          <cell r="A56">
            <v>101</v>
          </cell>
          <cell r="B56" t="str">
            <v>16100-VM-SDT-00000</v>
          </cell>
          <cell r="C56">
            <v>-688.02</v>
          </cell>
        </row>
        <row r="57">
          <cell r="A57">
            <v>103</v>
          </cell>
        </row>
        <row r="58">
          <cell r="A58">
            <v>105</v>
          </cell>
        </row>
        <row r="59">
          <cell r="A59">
            <v>107</v>
          </cell>
        </row>
        <row r="60">
          <cell r="A60">
            <v>109</v>
          </cell>
        </row>
        <row r="61">
          <cell r="A61">
            <v>111</v>
          </cell>
        </row>
        <row r="62">
          <cell r="A62">
            <v>113</v>
          </cell>
        </row>
        <row r="63">
          <cell r="A63">
            <v>115</v>
          </cell>
        </row>
        <row r="64">
          <cell r="A64">
            <v>117</v>
          </cell>
        </row>
        <row r="65">
          <cell r="A65">
            <v>119</v>
          </cell>
        </row>
        <row r="66">
          <cell r="A66">
            <v>121</v>
          </cell>
        </row>
        <row r="67">
          <cell r="A67">
            <v>123</v>
          </cell>
        </row>
        <row r="68">
          <cell r="A68">
            <v>125</v>
          </cell>
        </row>
        <row r="69">
          <cell r="A69">
            <v>127</v>
          </cell>
        </row>
        <row r="70">
          <cell r="A70">
            <v>129</v>
          </cell>
        </row>
        <row r="71">
          <cell r="A71">
            <v>131</v>
          </cell>
        </row>
        <row r="72">
          <cell r="A72">
            <v>133</v>
          </cell>
        </row>
        <row r="73">
          <cell r="A73">
            <v>135</v>
          </cell>
        </row>
        <row r="74">
          <cell r="A74">
            <v>137</v>
          </cell>
        </row>
        <row r="75">
          <cell r="A75">
            <v>139</v>
          </cell>
        </row>
        <row r="76">
          <cell r="A76">
            <v>141</v>
          </cell>
        </row>
        <row r="77">
          <cell r="A77">
            <v>143</v>
          </cell>
        </row>
        <row r="78">
          <cell r="A78">
            <v>145</v>
          </cell>
        </row>
        <row r="79">
          <cell r="A79">
            <v>147</v>
          </cell>
        </row>
        <row r="80">
          <cell r="A80">
            <v>149</v>
          </cell>
        </row>
        <row r="81">
          <cell r="A81">
            <v>151</v>
          </cell>
        </row>
        <row r="82">
          <cell r="A82">
            <v>153</v>
          </cell>
        </row>
        <row r="83">
          <cell r="A83">
            <v>155</v>
          </cell>
        </row>
        <row r="84">
          <cell r="A84">
            <v>157</v>
          </cell>
        </row>
        <row r="85">
          <cell r="A85">
            <v>159</v>
          </cell>
        </row>
        <row r="86">
          <cell r="A86">
            <v>161</v>
          </cell>
        </row>
        <row r="87">
          <cell r="A87">
            <v>163</v>
          </cell>
        </row>
        <row r="88">
          <cell r="A88">
            <v>165</v>
          </cell>
        </row>
        <row r="89">
          <cell r="A89">
            <v>167</v>
          </cell>
        </row>
        <row r="90">
          <cell r="A90">
            <v>169</v>
          </cell>
        </row>
        <row r="91">
          <cell r="A91">
            <v>171</v>
          </cell>
        </row>
        <row r="92">
          <cell r="A92">
            <v>173</v>
          </cell>
        </row>
        <row r="93">
          <cell r="A93">
            <v>175</v>
          </cell>
        </row>
        <row r="94">
          <cell r="A94">
            <v>177</v>
          </cell>
        </row>
        <row r="95">
          <cell r="A95">
            <v>179</v>
          </cell>
        </row>
        <row r="96">
          <cell r="A96">
            <v>181</v>
          </cell>
        </row>
        <row r="97">
          <cell r="A97">
            <v>183</v>
          </cell>
        </row>
        <row r="98">
          <cell r="A98">
            <v>185</v>
          </cell>
        </row>
        <row r="99">
          <cell r="A99">
            <v>187</v>
          </cell>
        </row>
        <row r="100">
          <cell r="A100">
            <v>189</v>
          </cell>
        </row>
        <row r="101">
          <cell r="A101">
            <v>191</v>
          </cell>
        </row>
        <row r="102">
          <cell r="A102">
            <v>193</v>
          </cell>
        </row>
        <row r="103">
          <cell r="A103">
            <v>195</v>
          </cell>
        </row>
        <row r="104">
          <cell r="A104">
            <v>197</v>
          </cell>
        </row>
        <row r="105">
          <cell r="A105">
            <v>199</v>
          </cell>
        </row>
        <row r="106">
          <cell r="A106">
            <v>201</v>
          </cell>
        </row>
        <row r="107">
          <cell r="A107">
            <v>203</v>
          </cell>
        </row>
        <row r="108">
          <cell r="A108">
            <v>205</v>
          </cell>
        </row>
        <row r="109">
          <cell r="A109">
            <v>207</v>
          </cell>
        </row>
        <row r="110">
          <cell r="A110">
            <v>209</v>
          </cell>
        </row>
        <row r="111">
          <cell r="A111">
            <v>211</v>
          </cell>
        </row>
        <row r="112">
          <cell r="A112">
            <v>213</v>
          </cell>
        </row>
        <row r="113">
          <cell r="A113">
            <v>215</v>
          </cell>
        </row>
        <row r="114">
          <cell r="A114">
            <v>217</v>
          </cell>
        </row>
        <row r="115">
          <cell r="A115">
            <v>219</v>
          </cell>
        </row>
        <row r="116">
          <cell r="A116">
            <v>221</v>
          </cell>
        </row>
        <row r="117">
          <cell r="A117">
            <v>223</v>
          </cell>
        </row>
        <row r="118">
          <cell r="A118">
            <v>225</v>
          </cell>
        </row>
        <row r="119">
          <cell r="A119">
            <v>227</v>
          </cell>
        </row>
        <row r="120">
          <cell r="A120">
            <v>229</v>
          </cell>
        </row>
        <row r="121">
          <cell r="A121">
            <v>231</v>
          </cell>
        </row>
        <row r="122">
          <cell r="A122">
            <v>233</v>
          </cell>
        </row>
        <row r="123">
          <cell r="A123">
            <v>235</v>
          </cell>
        </row>
        <row r="124">
          <cell r="A124">
            <v>237</v>
          </cell>
        </row>
        <row r="125">
          <cell r="A125">
            <v>239</v>
          </cell>
        </row>
        <row r="126">
          <cell r="A126">
            <v>241</v>
          </cell>
        </row>
        <row r="127">
          <cell r="A127">
            <v>243</v>
          </cell>
        </row>
        <row r="128">
          <cell r="A128">
            <v>245</v>
          </cell>
        </row>
        <row r="129">
          <cell r="A129">
            <v>247</v>
          </cell>
        </row>
        <row r="130">
          <cell r="A130">
            <v>249</v>
          </cell>
        </row>
        <row r="131">
          <cell r="A131">
            <v>251</v>
          </cell>
        </row>
        <row r="132">
          <cell r="A132">
            <v>253</v>
          </cell>
        </row>
        <row r="133">
          <cell r="A133">
            <v>255</v>
          </cell>
        </row>
        <row r="134">
          <cell r="A134">
            <v>257</v>
          </cell>
        </row>
        <row r="135">
          <cell r="A135">
            <v>259</v>
          </cell>
        </row>
        <row r="136">
          <cell r="A136">
            <v>261</v>
          </cell>
        </row>
        <row r="137">
          <cell r="A137">
            <v>263</v>
          </cell>
        </row>
        <row r="138">
          <cell r="A138">
            <v>265</v>
          </cell>
        </row>
        <row r="139">
          <cell r="A139">
            <v>267</v>
          </cell>
        </row>
        <row r="140">
          <cell r="A140">
            <v>269</v>
          </cell>
        </row>
        <row r="141">
          <cell r="A141">
            <v>271</v>
          </cell>
        </row>
        <row r="142">
          <cell r="A142">
            <v>273</v>
          </cell>
        </row>
        <row r="143">
          <cell r="A143">
            <v>275</v>
          </cell>
        </row>
        <row r="144">
          <cell r="A144">
            <v>277</v>
          </cell>
        </row>
        <row r="145">
          <cell r="A145">
            <v>279</v>
          </cell>
        </row>
        <row r="146">
          <cell r="A146">
            <v>281</v>
          </cell>
        </row>
        <row r="147">
          <cell r="A147">
            <v>283</v>
          </cell>
        </row>
        <row r="148">
          <cell r="A148">
            <v>285</v>
          </cell>
        </row>
        <row r="149">
          <cell r="A149">
            <v>287</v>
          </cell>
        </row>
        <row r="150">
          <cell r="A150">
            <v>289</v>
          </cell>
        </row>
        <row r="151">
          <cell r="A151">
            <v>291</v>
          </cell>
        </row>
        <row r="152">
          <cell r="A152">
            <v>293</v>
          </cell>
        </row>
        <row r="153">
          <cell r="A153">
            <v>295</v>
          </cell>
        </row>
        <row r="154">
          <cell r="A154">
            <v>297</v>
          </cell>
        </row>
        <row r="155">
          <cell r="A155">
            <v>299</v>
          </cell>
        </row>
        <row r="156">
          <cell r="A156">
            <v>301</v>
          </cell>
        </row>
        <row r="157">
          <cell r="A157">
            <v>303</v>
          </cell>
        </row>
        <row r="158">
          <cell r="A158">
            <v>305</v>
          </cell>
        </row>
        <row r="159">
          <cell r="A159">
            <v>307</v>
          </cell>
        </row>
        <row r="160">
          <cell r="A160">
            <v>309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persons/person.xml><?xml version="1.0" encoding="utf-8"?>
<personList xmlns="http://schemas.microsoft.com/office/spreadsheetml/2018/threadedcomments" xmlns:x="http://schemas.openxmlformats.org/spreadsheetml/2006/main">
  <person displayName="Walaa Abu Zaiter" id="{84F9B117-FB35-4747-BC6E-A17A055B4B9D}" userId="S::wabuzaiter@pt.acfspain.org::209322e8-05b6-4ae3-8d64-6be260fe1fd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9" dT="2020-09-14T06:12:07.83" personId="{84F9B117-FB35-4747-BC6E-A17A055B4B9D}" id="{6B3EA6FD-88C6-4EE5-A379-E030D2F3E098}">
    <text>revise Macro checkbox</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microsoft.com/office/2017/10/relationships/threadedComment" Target="../threadedComments/threadedComment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85E72-9467-4060-9136-92FB6AB669AC}">
  <sheetPr codeName="Sheet1">
    <tabColor rgb="FF92D050"/>
  </sheetPr>
  <dimension ref="A1:H16"/>
  <sheetViews>
    <sheetView zoomScale="110" zoomScaleNormal="110" workbookViewId="0">
      <selection activeCell="B7" activeCellId="1" sqref="B1:F2 B7:F7"/>
    </sheetView>
  </sheetViews>
  <sheetFormatPr defaultRowHeight="12.75" x14ac:dyDescent="0.2"/>
  <cols>
    <col min="1" max="1" width="5" style="3" customWidth="1"/>
    <col min="2" max="2" width="20.7109375" style="3" customWidth="1"/>
    <col min="3" max="3" width="6.5703125" style="3" customWidth="1"/>
    <col min="4" max="5" width="9.140625" style="3"/>
    <col min="6" max="6" width="54.42578125" style="3" customWidth="1"/>
    <col min="7" max="16384" width="9.140625" style="3"/>
  </cols>
  <sheetData>
    <row r="1" spans="1:8" ht="20.25" x14ac:dyDescent="0.25">
      <c r="A1" s="224"/>
      <c r="B1" s="225" t="s">
        <v>303</v>
      </c>
      <c r="C1" s="276"/>
      <c r="D1" s="276"/>
      <c r="E1" s="276"/>
      <c r="F1" s="277"/>
      <c r="G1"/>
      <c r="H1"/>
    </row>
    <row r="2" spans="1:8" ht="12.75" customHeight="1" thickBot="1" x14ac:dyDescent="0.3">
      <c r="A2" s="224"/>
      <c r="B2" s="278"/>
      <c r="C2" s="279"/>
      <c r="D2" s="279"/>
      <c r="E2" s="279"/>
      <c r="F2" s="280"/>
      <c r="G2"/>
      <c r="H2"/>
    </row>
    <row r="3" spans="1:8" ht="15.75" thickBot="1" x14ac:dyDescent="0.3">
      <c r="A3" s="224"/>
      <c r="B3" s="403" t="s">
        <v>299</v>
      </c>
      <c r="C3" s="404"/>
      <c r="D3" s="404"/>
      <c r="E3" s="404"/>
      <c r="F3" s="405"/>
      <c r="G3"/>
      <c r="H3"/>
    </row>
    <row r="4" spans="1:8" ht="15.75" thickBot="1" x14ac:dyDescent="0.3">
      <c r="A4" s="224"/>
      <c r="B4" s="272"/>
      <c r="C4" s="406" t="s">
        <v>336</v>
      </c>
      <c r="D4" s="407"/>
      <c r="E4" s="407"/>
      <c r="F4" s="408"/>
      <c r="G4"/>
      <c r="H4"/>
    </row>
    <row r="5" spans="1:8" ht="16.5" customHeight="1" thickBot="1" x14ac:dyDescent="0.25">
      <c r="A5" s="224"/>
      <c r="B5" s="273"/>
      <c r="C5" s="409" t="s">
        <v>337</v>
      </c>
      <c r="D5" s="410"/>
      <c r="E5" s="410"/>
      <c r="F5" s="411"/>
    </row>
    <row r="6" spans="1:8" ht="13.5" thickBot="1" x14ac:dyDescent="0.25">
      <c r="A6" s="224"/>
      <c r="B6" s="274"/>
      <c r="C6" s="412" t="s">
        <v>338</v>
      </c>
      <c r="D6" s="413"/>
      <c r="E6" s="413"/>
      <c r="F6" s="414"/>
    </row>
    <row r="7" spans="1:8" x14ac:dyDescent="0.2">
      <c r="B7" s="415"/>
      <c r="C7" s="416"/>
      <c r="D7" s="416"/>
      <c r="E7" s="416"/>
      <c r="F7" s="417"/>
    </row>
    <row r="8" spans="1:8" ht="39.75" customHeight="1" x14ac:dyDescent="0.2">
      <c r="B8" s="275" t="s">
        <v>300</v>
      </c>
      <c r="C8" s="401" t="s">
        <v>335</v>
      </c>
      <c r="D8" s="401"/>
      <c r="E8" s="401"/>
      <c r="F8" s="402"/>
    </row>
    <row r="9" spans="1:8" x14ac:dyDescent="0.2">
      <c r="B9" s="393"/>
      <c r="C9" s="394"/>
      <c r="D9" s="394"/>
      <c r="E9" s="394"/>
      <c r="F9" s="395"/>
    </row>
    <row r="10" spans="1:8" ht="41.25" customHeight="1" x14ac:dyDescent="0.2">
      <c r="B10" s="275" t="s">
        <v>301</v>
      </c>
      <c r="C10" s="396" t="s">
        <v>339</v>
      </c>
      <c r="D10" s="396"/>
      <c r="E10" s="396"/>
      <c r="F10" s="397"/>
    </row>
    <row r="11" spans="1:8" x14ac:dyDescent="0.2">
      <c r="B11" s="398"/>
      <c r="C11" s="399"/>
      <c r="D11" s="399"/>
      <c r="E11" s="399"/>
      <c r="F11" s="400"/>
    </row>
    <row r="12" spans="1:8" ht="80.25" customHeight="1" x14ac:dyDescent="0.2">
      <c r="B12" s="275" t="s">
        <v>302</v>
      </c>
      <c r="C12" s="396" t="s">
        <v>330</v>
      </c>
      <c r="D12" s="396"/>
      <c r="E12" s="396"/>
      <c r="F12" s="397"/>
    </row>
    <row r="13" spans="1:8" x14ac:dyDescent="0.2">
      <c r="B13" s="390" t="s">
        <v>333</v>
      </c>
      <c r="C13" s="391" t="s">
        <v>331</v>
      </c>
      <c r="D13" s="391"/>
      <c r="E13" s="391"/>
      <c r="F13" s="391"/>
    </row>
    <row r="14" spans="1:8" x14ac:dyDescent="0.2">
      <c r="B14" s="390"/>
      <c r="C14" s="391"/>
      <c r="D14" s="391"/>
      <c r="E14" s="391"/>
      <c r="F14" s="391"/>
    </row>
    <row r="15" spans="1:8" x14ac:dyDescent="0.2">
      <c r="B15" s="392" t="s">
        <v>334</v>
      </c>
      <c r="C15" s="391" t="s">
        <v>332</v>
      </c>
      <c r="D15" s="391"/>
      <c r="E15" s="391"/>
      <c r="F15" s="391"/>
    </row>
    <row r="16" spans="1:8" x14ac:dyDescent="0.2">
      <c r="B16" s="392"/>
      <c r="C16" s="391"/>
      <c r="D16" s="391"/>
      <c r="E16" s="391"/>
      <c r="F16" s="391"/>
    </row>
  </sheetData>
  <mergeCells count="14">
    <mergeCell ref="C8:F8"/>
    <mergeCell ref="B3:F3"/>
    <mergeCell ref="C4:F4"/>
    <mergeCell ref="C5:F5"/>
    <mergeCell ref="C6:F6"/>
    <mergeCell ref="B7:F7"/>
    <mergeCell ref="B13:B14"/>
    <mergeCell ref="C13:F14"/>
    <mergeCell ref="B15:B16"/>
    <mergeCell ref="C15:F16"/>
    <mergeCell ref="B9:F9"/>
    <mergeCell ref="C10:F10"/>
    <mergeCell ref="B11:F11"/>
    <mergeCell ref="C12:F1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C000"/>
  </sheetPr>
  <dimension ref="B1:S41"/>
  <sheetViews>
    <sheetView zoomScale="60" zoomScaleNormal="60" workbookViewId="0">
      <selection activeCell="F37" sqref="F37"/>
    </sheetView>
  </sheetViews>
  <sheetFormatPr defaultColWidth="8.85546875" defaultRowHeight="18.75" x14ac:dyDescent="0.25"/>
  <cols>
    <col min="1" max="1" width="1.42578125" style="5" customWidth="1"/>
    <col min="2" max="2" width="32.5703125" style="48" customWidth="1"/>
    <col min="3" max="3" width="8.85546875" style="46"/>
    <col min="4" max="4" width="16.7109375" style="46" customWidth="1"/>
    <col min="5" max="5" width="11.85546875" style="46" customWidth="1"/>
    <col min="6" max="6" width="15" style="46" customWidth="1"/>
    <col min="7" max="7" width="20.7109375" style="46" customWidth="1"/>
    <col min="8" max="8" width="8" style="46" customWidth="1"/>
    <col min="9" max="9" width="15.7109375" style="46" customWidth="1"/>
    <col min="10" max="10" width="15.42578125" style="46" customWidth="1"/>
    <col min="11" max="16384" width="8.85546875" style="5"/>
  </cols>
  <sheetData>
    <row r="1" spans="2:19" ht="30" customHeight="1" thickBot="1" x14ac:dyDescent="0.3">
      <c r="B1" s="474" t="s">
        <v>115</v>
      </c>
      <c r="C1" s="475"/>
      <c r="D1" s="475"/>
      <c r="E1" s="475"/>
      <c r="F1" s="475"/>
      <c r="G1" s="475"/>
      <c r="H1" s="475"/>
      <c r="I1" s="475"/>
      <c r="J1" s="476"/>
    </row>
    <row r="2" spans="2:19" ht="30" customHeight="1" thickBot="1" x14ac:dyDescent="0.3">
      <c r="B2" s="39" t="s">
        <v>48</v>
      </c>
      <c r="C2" s="449"/>
      <c r="D2" s="450"/>
      <c r="E2" s="450"/>
      <c r="F2" s="450"/>
      <c r="G2" s="450"/>
      <c r="H2" s="450"/>
      <c r="I2" s="450"/>
      <c r="J2" s="451"/>
    </row>
    <row r="3" spans="2:19" ht="30" customHeight="1" thickBot="1" x14ac:dyDescent="0.3">
      <c r="B3" s="47" t="s">
        <v>116</v>
      </c>
      <c r="C3" s="449"/>
      <c r="D3" s="450"/>
      <c r="E3" s="450"/>
      <c r="F3" s="450"/>
      <c r="G3" s="450"/>
      <c r="H3" s="450"/>
      <c r="I3" s="450"/>
      <c r="J3" s="451"/>
    </row>
    <row r="4" spans="2:19" ht="18.75" customHeight="1" thickBot="1" x14ac:dyDescent="0.3">
      <c r="B4" s="42" t="s">
        <v>47</v>
      </c>
      <c r="C4" s="449"/>
      <c r="D4" s="450"/>
      <c r="E4" s="450"/>
      <c r="F4" s="450"/>
      <c r="G4" s="450"/>
      <c r="H4" s="450"/>
      <c r="I4" s="450"/>
      <c r="J4" s="451"/>
    </row>
    <row r="5" spans="2:19" ht="39.75" customHeight="1" thickBot="1" x14ac:dyDescent="0.3">
      <c r="B5" s="41" t="s">
        <v>38</v>
      </c>
      <c r="C5" s="449"/>
      <c r="D5" s="450"/>
      <c r="E5" s="450"/>
      <c r="F5" s="450"/>
      <c r="G5" s="450"/>
      <c r="H5" s="450"/>
      <c r="I5" s="450"/>
      <c r="J5" s="451"/>
      <c r="L5"/>
      <c r="M5"/>
      <c r="N5"/>
      <c r="O5"/>
      <c r="P5"/>
      <c r="Q5"/>
      <c r="R5"/>
      <c r="S5"/>
    </row>
    <row r="6" spans="2:19" ht="30" customHeight="1" thickBot="1" x14ac:dyDescent="0.3">
      <c r="B6" s="42" t="s">
        <v>39</v>
      </c>
      <c r="C6" s="484"/>
      <c r="D6" s="485"/>
      <c r="E6" s="486"/>
      <c r="F6" s="487" t="s">
        <v>3</v>
      </c>
      <c r="G6" s="488"/>
      <c r="H6" s="484"/>
      <c r="I6" s="485"/>
      <c r="J6" s="486"/>
    </row>
    <row r="7" spans="2:19" ht="44.25" customHeight="1" thickBot="1" x14ac:dyDescent="0.3">
      <c r="B7" s="43" t="s">
        <v>182</v>
      </c>
      <c r="C7" s="479"/>
      <c r="D7" s="480"/>
      <c r="E7" s="481"/>
      <c r="F7" s="482" t="s">
        <v>40</v>
      </c>
      <c r="G7" s="483"/>
      <c r="H7" s="479"/>
      <c r="I7" s="480"/>
      <c r="J7" s="481"/>
    </row>
    <row r="8" spans="2:19" ht="30" customHeight="1" thickBot="1" x14ac:dyDescent="0.3">
      <c r="B8" s="44" t="s">
        <v>185</v>
      </c>
      <c r="C8" s="458"/>
      <c r="D8" s="458"/>
      <c r="E8" s="459"/>
      <c r="F8" s="460" t="s">
        <v>41</v>
      </c>
      <c r="G8" s="461"/>
      <c r="H8" s="462"/>
      <c r="I8" s="463"/>
      <c r="J8" s="464"/>
    </row>
    <row r="9" spans="2:19" ht="30" customHeight="1" thickBot="1" x14ac:dyDescent="0.3">
      <c r="B9" s="44" t="s">
        <v>184</v>
      </c>
      <c r="C9" s="458"/>
      <c r="D9" s="458"/>
      <c r="E9" s="459"/>
      <c r="F9" s="460" t="s">
        <v>41</v>
      </c>
      <c r="G9" s="461"/>
      <c r="H9" s="462"/>
      <c r="I9" s="463"/>
      <c r="J9" s="464"/>
    </row>
    <row r="10" spans="2:19" ht="30" customHeight="1" thickBot="1" x14ac:dyDescent="0.3">
      <c r="B10" s="44" t="s">
        <v>183</v>
      </c>
      <c r="C10" s="458"/>
      <c r="D10" s="458"/>
      <c r="E10" s="459"/>
      <c r="F10" s="460" t="s">
        <v>41</v>
      </c>
      <c r="G10" s="461"/>
      <c r="H10" s="462"/>
      <c r="I10" s="463"/>
      <c r="J10" s="464"/>
    </row>
    <row r="11" spans="2:19" ht="38.25" thickBot="1" x14ac:dyDescent="0.3">
      <c r="B11" s="44" t="s">
        <v>123</v>
      </c>
      <c r="C11" s="449">
        <v>7595</v>
      </c>
      <c r="D11" s="450"/>
      <c r="E11" s="450"/>
      <c r="F11" s="450"/>
      <c r="G11" s="450"/>
      <c r="H11" s="450"/>
      <c r="I11" s="450"/>
      <c r="J11" s="451"/>
    </row>
    <row r="12" spans="2:19" ht="38.25" thickBot="1" x14ac:dyDescent="0.3">
      <c r="B12" s="45" t="s">
        <v>42</v>
      </c>
      <c r="C12" s="477" t="b">
        <v>0</v>
      </c>
      <c r="D12" s="478"/>
      <c r="E12" s="478"/>
      <c r="F12" s="49" t="s">
        <v>124</v>
      </c>
      <c r="G12" s="50"/>
      <c r="H12" s="492" t="s">
        <v>43</v>
      </c>
      <c r="I12" s="493"/>
      <c r="J12" s="494"/>
    </row>
    <row r="13" spans="2:19" ht="30" customHeight="1" thickBot="1" x14ac:dyDescent="0.3">
      <c r="B13" s="40" t="s">
        <v>44</v>
      </c>
      <c r="C13" s="449"/>
      <c r="D13" s="450"/>
      <c r="E13" s="450"/>
      <c r="F13" s="450"/>
      <c r="G13" s="450"/>
      <c r="H13" s="450"/>
      <c r="I13" s="450"/>
      <c r="J13" s="451"/>
    </row>
    <row r="14" spans="2:19" ht="30" customHeight="1" thickBot="1" x14ac:dyDescent="0.3">
      <c r="B14" s="440" t="s">
        <v>117</v>
      </c>
      <c r="C14" s="489" t="s">
        <v>247</v>
      </c>
      <c r="D14" s="490"/>
      <c r="E14" s="490"/>
      <c r="F14" s="490"/>
      <c r="G14" s="491"/>
      <c r="H14" s="455" t="b">
        <v>0</v>
      </c>
      <c r="I14" s="456"/>
      <c r="J14" s="457"/>
    </row>
    <row r="15" spans="2:19" ht="30" customHeight="1" thickBot="1" x14ac:dyDescent="0.3">
      <c r="B15" s="441"/>
      <c r="C15" s="489" t="s">
        <v>248</v>
      </c>
      <c r="D15" s="490"/>
      <c r="E15" s="490"/>
      <c r="F15" s="490"/>
      <c r="G15" s="491"/>
      <c r="H15" s="455" t="b">
        <v>0</v>
      </c>
      <c r="I15" s="456"/>
      <c r="J15" s="457"/>
    </row>
    <row r="16" spans="2:19" ht="30" customHeight="1" thickBot="1" x14ac:dyDescent="0.3">
      <c r="B16" s="441"/>
      <c r="C16" s="489" t="s">
        <v>249</v>
      </c>
      <c r="D16" s="490"/>
      <c r="E16" s="140"/>
      <c r="F16" s="140"/>
      <c r="G16" s="141"/>
      <c r="H16" s="455" t="b">
        <v>0</v>
      </c>
      <c r="I16" s="456"/>
      <c r="J16" s="457"/>
    </row>
    <row r="17" spans="2:15" ht="30" customHeight="1" thickBot="1" x14ac:dyDescent="0.3">
      <c r="B17" s="442"/>
      <c r="C17" s="489" t="s">
        <v>118</v>
      </c>
      <c r="D17" s="490"/>
      <c r="E17" s="490"/>
      <c r="F17" s="490"/>
      <c r="G17" s="491" t="b">
        <v>0</v>
      </c>
      <c r="H17" s="455" t="b">
        <v>1</v>
      </c>
      <c r="I17" s="456"/>
      <c r="J17" s="457"/>
    </row>
    <row r="18" spans="2:15" ht="30" customHeight="1" thickBot="1" x14ac:dyDescent="0.3">
      <c r="B18" s="452" t="s">
        <v>45</v>
      </c>
      <c r="C18" s="446" t="s">
        <v>119</v>
      </c>
      <c r="D18" s="447"/>
      <c r="E18" s="447"/>
      <c r="F18" s="448"/>
      <c r="G18" s="449" t="b">
        <v>0</v>
      </c>
      <c r="H18" s="450"/>
      <c r="I18" s="450"/>
      <c r="J18" s="451"/>
    </row>
    <row r="19" spans="2:15" ht="30" customHeight="1" thickBot="1" x14ac:dyDescent="0.3">
      <c r="B19" s="453"/>
      <c r="C19" s="446" t="s">
        <v>120</v>
      </c>
      <c r="D19" s="447"/>
      <c r="E19" s="447"/>
      <c r="F19" s="448"/>
      <c r="G19" s="449" t="b">
        <v>0</v>
      </c>
      <c r="H19" s="450"/>
      <c r="I19" s="450"/>
      <c r="J19" s="451"/>
    </row>
    <row r="20" spans="2:15" ht="30" customHeight="1" thickBot="1" x14ac:dyDescent="0.3">
      <c r="B20" s="453"/>
      <c r="C20" s="446" t="s">
        <v>187</v>
      </c>
      <c r="D20" s="447"/>
      <c r="E20" s="447"/>
      <c r="F20" s="448"/>
      <c r="G20" s="449" t="b">
        <v>0</v>
      </c>
      <c r="H20" s="450"/>
      <c r="I20" s="450"/>
      <c r="J20" s="451"/>
    </row>
    <row r="21" spans="2:15" ht="30" customHeight="1" thickBot="1" x14ac:dyDescent="0.3">
      <c r="B21" s="453"/>
      <c r="C21" s="446" t="s">
        <v>121</v>
      </c>
      <c r="D21" s="447"/>
      <c r="E21" s="447"/>
      <c r="F21" s="448"/>
      <c r="G21" s="449" t="b">
        <v>0</v>
      </c>
      <c r="H21" s="450"/>
      <c r="I21" s="450"/>
      <c r="J21" s="451"/>
    </row>
    <row r="22" spans="2:15" ht="30" customHeight="1" thickBot="1" x14ac:dyDescent="0.3">
      <c r="B22" s="454"/>
      <c r="C22" s="446" t="s">
        <v>122</v>
      </c>
      <c r="D22" s="447"/>
      <c r="E22" s="447"/>
      <c r="F22" s="448"/>
      <c r="G22" s="449" t="b">
        <v>0</v>
      </c>
      <c r="H22" s="450"/>
      <c r="I22" s="450"/>
      <c r="J22" s="451"/>
    </row>
    <row r="23" spans="2:15" ht="15" x14ac:dyDescent="0.25">
      <c r="B23" s="432" t="s">
        <v>189</v>
      </c>
      <c r="C23" s="434" t="s">
        <v>188</v>
      </c>
      <c r="D23" s="435"/>
      <c r="E23" s="435"/>
      <c r="F23" s="435"/>
      <c r="G23" s="435"/>
      <c r="H23" s="435"/>
      <c r="I23" s="435"/>
      <c r="J23" s="436"/>
    </row>
    <row r="24" spans="2:15" ht="15.75" thickBot="1" x14ac:dyDescent="0.3">
      <c r="B24" s="433"/>
      <c r="C24" s="437"/>
      <c r="D24" s="438"/>
      <c r="E24" s="438"/>
      <c r="F24" s="438"/>
      <c r="G24" s="438"/>
      <c r="H24" s="438"/>
      <c r="I24" s="438"/>
      <c r="J24" s="439"/>
    </row>
    <row r="25" spans="2:15" ht="30" customHeight="1" thickBot="1" x14ac:dyDescent="0.3">
      <c r="B25" s="471" t="s">
        <v>46</v>
      </c>
      <c r="C25" s="443" t="s">
        <v>125</v>
      </c>
      <c r="D25" s="443"/>
      <c r="E25" s="443"/>
      <c r="F25" s="443"/>
      <c r="G25" s="465" t="b">
        <v>0</v>
      </c>
      <c r="H25" s="466"/>
      <c r="I25" s="466"/>
      <c r="J25" s="467"/>
    </row>
    <row r="26" spans="2:15" ht="30" customHeight="1" thickBot="1" x14ac:dyDescent="0.3">
      <c r="B26" s="472"/>
      <c r="C26" s="443" t="s">
        <v>126</v>
      </c>
      <c r="D26" s="443"/>
      <c r="E26" s="443"/>
      <c r="F26" s="443"/>
      <c r="G26" s="445" t="b">
        <v>0</v>
      </c>
      <c r="H26" s="445"/>
      <c r="I26" s="445"/>
      <c r="J26" s="445"/>
    </row>
    <row r="27" spans="2:15" ht="30" customHeight="1" thickBot="1" x14ac:dyDescent="0.3">
      <c r="B27" s="472"/>
      <c r="C27" s="443" t="s">
        <v>79</v>
      </c>
      <c r="D27" s="443"/>
      <c r="E27" s="443"/>
      <c r="F27" s="443"/>
      <c r="G27" s="445" t="b">
        <v>0</v>
      </c>
      <c r="H27" s="445"/>
      <c r="I27" s="445"/>
      <c r="J27" s="445"/>
    </row>
    <row r="28" spans="2:15" ht="30" customHeight="1" thickBot="1" x14ac:dyDescent="0.3">
      <c r="B28" s="472"/>
      <c r="C28" s="444" t="s">
        <v>250</v>
      </c>
      <c r="D28" s="444"/>
      <c r="E28" s="444"/>
      <c r="F28" s="444"/>
      <c r="G28" s="445" t="b">
        <v>0</v>
      </c>
      <c r="H28" s="445"/>
      <c r="I28" s="445"/>
      <c r="J28" s="445"/>
    </row>
    <row r="29" spans="2:15" ht="30" customHeight="1" thickBot="1" x14ac:dyDescent="0.3">
      <c r="B29" s="472"/>
      <c r="C29" s="444" t="s">
        <v>251</v>
      </c>
      <c r="D29" s="444"/>
      <c r="E29" s="444"/>
      <c r="F29" s="444"/>
      <c r="G29" s="473" t="b">
        <v>0</v>
      </c>
      <c r="H29" s="473"/>
      <c r="I29" s="473"/>
      <c r="J29" s="473"/>
    </row>
    <row r="30" spans="2:15" x14ac:dyDescent="0.25">
      <c r="B30" s="424" t="s">
        <v>191</v>
      </c>
      <c r="C30" s="427" t="s">
        <v>193</v>
      </c>
      <c r="D30" s="428"/>
      <c r="E30" s="431" t="s">
        <v>194</v>
      </c>
      <c r="F30" s="431"/>
      <c r="G30" s="431" t="s">
        <v>195</v>
      </c>
      <c r="H30" s="428" t="s">
        <v>21</v>
      </c>
      <c r="I30" s="428"/>
      <c r="J30" s="469"/>
    </row>
    <row r="31" spans="2:15" x14ac:dyDescent="0.25">
      <c r="B31" s="425"/>
      <c r="C31" s="429"/>
      <c r="D31" s="430"/>
      <c r="E31" s="173" t="s">
        <v>196</v>
      </c>
      <c r="F31" s="173" t="s">
        <v>197</v>
      </c>
      <c r="G31" s="468"/>
      <c r="H31" s="430"/>
      <c r="I31" s="430"/>
      <c r="J31" s="470"/>
    </row>
    <row r="32" spans="2:15" ht="30" customHeight="1" x14ac:dyDescent="0.25">
      <c r="B32" s="425"/>
      <c r="C32" s="418" t="s">
        <v>190</v>
      </c>
      <c r="D32" s="419"/>
      <c r="E32" s="121"/>
      <c r="F32" s="121"/>
      <c r="G32" s="121"/>
      <c r="H32" s="419"/>
      <c r="I32" s="419"/>
      <c r="J32" s="420"/>
      <c r="O32" s="6"/>
    </row>
    <row r="33" spans="2:15" ht="30" customHeight="1" x14ac:dyDescent="0.25">
      <c r="B33" s="425"/>
      <c r="C33" s="418" t="s">
        <v>192</v>
      </c>
      <c r="D33" s="419"/>
      <c r="E33" s="121"/>
      <c r="F33" s="121"/>
      <c r="G33" s="121"/>
      <c r="H33" s="419"/>
      <c r="I33" s="419"/>
      <c r="J33" s="420"/>
      <c r="O33" s="4"/>
    </row>
    <row r="34" spans="2:15" ht="30" customHeight="1" x14ac:dyDescent="0.25">
      <c r="B34" s="425"/>
      <c r="C34" s="418" t="s">
        <v>252</v>
      </c>
      <c r="D34" s="419"/>
      <c r="E34" s="121"/>
      <c r="F34" s="121"/>
      <c r="G34" s="121"/>
      <c r="H34" s="419"/>
      <c r="I34" s="419"/>
      <c r="J34" s="420"/>
    </row>
    <row r="35" spans="2:15" ht="30" customHeight="1" x14ac:dyDescent="0.25">
      <c r="B35" s="425"/>
      <c r="C35" s="418" t="s">
        <v>253</v>
      </c>
      <c r="D35" s="419"/>
      <c r="E35" s="121"/>
      <c r="F35" s="121"/>
      <c r="G35" s="121"/>
      <c r="H35" s="419"/>
      <c r="I35" s="419"/>
      <c r="J35" s="420"/>
    </row>
    <row r="36" spans="2:15" ht="30" customHeight="1" x14ac:dyDescent="0.25">
      <c r="B36" s="425"/>
      <c r="C36" s="418" t="s">
        <v>254</v>
      </c>
      <c r="D36" s="419"/>
      <c r="E36" s="121"/>
      <c r="F36" s="121"/>
      <c r="G36" s="121"/>
      <c r="H36" s="419"/>
      <c r="I36" s="419"/>
      <c r="J36" s="420"/>
    </row>
    <row r="37" spans="2:15" ht="30" customHeight="1" x14ac:dyDescent="0.25">
      <c r="B37" s="425"/>
      <c r="C37" s="418" t="s">
        <v>255</v>
      </c>
      <c r="D37" s="419"/>
      <c r="E37" s="121"/>
      <c r="F37" s="121"/>
      <c r="G37" s="121"/>
      <c r="H37" s="419"/>
      <c r="I37" s="419"/>
      <c r="J37" s="420"/>
    </row>
    <row r="38" spans="2:15" ht="30" customHeight="1" x14ac:dyDescent="0.25">
      <c r="B38" s="425"/>
      <c r="C38" s="418" t="s">
        <v>256</v>
      </c>
      <c r="D38" s="419"/>
      <c r="E38" s="121"/>
      <c r="F38" s="121"/>
      <c r="G38" s="121"/>
      <c r="H38" s="419"/>
      <c r="I38" s="419"/>
      <c r="J38" s="420"/>
    </row>
    <row r="39" spans="2:15" ht="30" customHeight="1" x14ac:dyDescent="0.25">
      <c r="B39" s="425"/>
      <c r="C39" s="418" t="s">
        <v>257</v>
      </c>
      <c r="D39" s="419"/>
      <c r="E39" s="121"/>
      <c r="F39" s="121"/>
      <c r="G39" s="121"/>
      <c r="H39" s="419"/>
      <c r="I39" s="419"/>
      <c r="J39" s="420"/>
    </row>
    <row r="40" spans="2:15" ht="30" customHeight="1" x14ac:dyDescent="0.25">
      <c r="B40" s="425"/>
      <c r="C40" s="418" t="s">
        <v>258</v>
      </c>
      <c r="D40" s="419"/>
      <c r="E40" s="121"/>
      <c r="F40" s="121"/>
      <c r="G40" s="121"/>
      <c r="H40" s="419"/>
      <c r="I40" s="419"/>
      <c r="J40" s="420"/>
    </row>
    <row r="41" spans="2:15" ht="30" customHeight="1" thickBot="1" x14ac:dyDescent="0.3">
      <c r="B41" s="426"/>
      <c r="C41" s="421" t="s">
        <v>259</v>
      </c>
      <c r="D41" s="422"/>
      <c r="E41" s="189"/>
      <c r="F41" s="189"/>
      <c r="G41" s="189"/>
      <c r="H41" s="422"/>
      <c r="I41" s="422"/>
      <c r="J41" s="423"/>
    </row>
  </sheetData>
  <mergeCells count="82">
    <mergeCell ref="C4:J4"/>
    <mergeCell ref="H6:J6"/>
    <mergeCell ref="G26:J26"/>
    <mergeCell ref="G27:J27"/>
    <mergeCell ref="C29:F29"/>
    <mergeCell ref="H15:J15"/>
    <mergeCell ref="C17:G17"/>
    <mergeCell ref="H17:J17"/>
    <mergeCell ref="H12:J12"/>
    <mergeCell ref="C13:J13"/>
    <mergeCell ref="C11:J11"/>
    <mergeCell ref="C14:G14"/>
    <mergeCell ref="H14:J14"/>
    <mergeCell ref="C15:G15"/>
    <mergeCell ref="C16:D16"/>
    <mergeCell ref="C25:F25"/>
    <mergeCell ref="B1:J1"/>
    <mergeCell ref="C2:J2"/>
    <mergeCell ref="C5:J5"/>
    <mergeCell ref="F9:G9"/>
    <mergeCell ref="C12:E12"/>
    <mergeCell ref="C7:E7"/>
    <mergeCell ref="F7:G7"/>
    <mergeCell ref="H7:J7"/>
    <mergeCell ref="C9:E9"/>
    <mergeCell ref="H9:J9"/>
    <mergeCell ref="C3:J3"/>
    <mergeCell ref="C6:E6"/>
    <mergeCell ref="F6:G6"/>
    <mergeCell ref="C8:E8"/>
    <mergeCell ref="F8:G8"/>
    <mergeCell ref="H8:J8"/>
    <mergeCell ref="G25:J25"/>
    <mergeCell ref="C26:F26"/>
    <mergeCell ref="G30:G31"/>
    <mergeCell ref="H30:J31"/>
    <mergeCell ref="B25:B29"/>
    <mergeCell ref="G29:J29"/>
    <mergeCell ref="C10:E10"/>
    <mergeCell ref="F10:G10"/>
    <mergeCell ref="H10:J10"/>
    <mergeCell ref="C18:F18"/>
    <mergeCell ref="G18:J18"/>
    <mergeCell ref="B23:B24"/>
    <mergeCell ref="C23:J24"/>
    <mergeCell ref="B14:B17"/>
    <mergeCell ref="C27:F27"/>
    <mergeCell ref="C28:F28"/>
    <mergeCell ref="G28:J28"/>
    <mergeCell ref="C19:F19"/>
    <mergeCell ref="G19:J19"/>
    <mergeCell ref="B18:B22"/>
    <mergeCell ref="H16:J16"/>
    <mergeCell ref="G20:J20"/>
    <mergeCell ref="C22:F22"/>
    <mergeCell ref="G22:J22"/>
    <mergeCell ref="C21:F21"/>
    <mergeCell ref="G21:J21"/>
    <mergeCell ref="C20:F20"/>
    <mergeCell ref="C41:D41"/>
    <mergeCell ref="H41:J41"/>
    <mergeCell ref="B30:B41"/>
    <mergeCell ref="C30:D31"/>
    <mergeCell ref="E30:F30"/>
    <mergeCell ref="C33:D33"/>
    <mergeCell ref="C32:D32"/>
    <mergeCell ref="H32:J32"/>
    <mergeCell ref="C38:D38"/>
    <mergeCell ref="H38:J38"/>
    <mergeCell ref="C39:D39"/>
    <mergeCell ref="H39:J39"/>
    <mergeCell ref="C40:D40"/>
    <mergeCell ref="H40:J40"/>
    <mergeCell ref="C36:D36"/>
    <mergeCell ref="H36:J36"/>
    <mergeCell ref="C37:D37"/>
    <mergeCell ref="H37:J37"/>
    <mergeCell ref="H33:J33"/>
    <mergeCell ref="C34:D34"/>
    <mergeCell ref="H34:J34"/>
    <mergeCell ref="C35:D35"/>
    <mergeCell ref="H35:J35"/>
  </mergeCells>
  <phoneticPr fontId="18" type="noConversion"/>
  <conditionalFormatting sqref="C5 E33:F35">
    <cfRule type="cellIs" dxfId="34" priority="27" stopIfTrue="1" operator="notEqual">
      <formula>""</formula>
    </cfRule>
  </conditionalFormatting>
  <conditionalFormatting sqref="C2">
    <cfRule type="cellIs" dxfId="33" priority="26" stopIfTrue="1" operator="notEqual">
      <formula>""</formula>
    </cfRule>
  </conditionalFormatting>
  <conditionalFormatting sqref="C13">
    <cfRule type="cellIs" dxfId="32" priority="24" stopIfTrue="1" operator="notEqual">
      <formula>""</formula>
    </cfRule>
  </conditionalFormatting>
  <conditionalFormatting sqref="C23">
    <cfRule type="cellIs" dxfId="31" priority="21" stopIfTrue="1" operator="notEqual">
      <formula>""</formula>
    </cfRule>
  </conditionalFormatting>
  <conditionalFormatting sqref="G18:G22">
    <cfRule type="cellIs" dxfId="30" priority="23" stopIfTrue="1" operator="notEqual">
      <formula>""</formula>
    </cfRule>
  </conditionalFormatting>
  <conditionalFormatting sqref="C11">
    <cfRule type="cellIs" dxfId="29" priority="20" stopIfTrue="1" operator="notEqual">
      <formula>""</formula>
    </cfRule>
  </conditionalFormatting>
  <conditionalFormatting sqref="C32:C41">
    <cfRule type="cellIs" dxfId="28" priority="18" stopIfTrue="1" operator="notEqual">
      <formula>""</formula>
    </cfRule>
  </conditionalFormatting>
  <conditionalFormatting sqref="E32">
    <cfRule type="cellIs" dxfId="27" priority="15" stopIfTrue="1" operator="notEqual">
      <formula>""</formula>
    </cfRule>
  </conditionalFormatting>
  <conditionalFormatting sqref="H32:H41">
    <cfRule type="cellIs" dxfId="26" priority="14" stopIfTrue="1" operator="notEqual">
      <formula>""</formula>
    </cfRule>
  </conditionalFormatting>
  <conditionalFormatting sqref="F32">
    <cfRule type="cellIs" dxfId="25" priority="11" stopIfTrue="1" operator="notEqual">
      <formula>""</formula>
    </cfRule>
  </conditionalFormatting>
  <conditionalFormatting sqref="G32">
    <cfRule type="cellIs" dxfId="24" priority="10" stopIfTrue="1" operator="notEqual">
      <formula>""</formula>
    </cfRule>
  </conditionalFormatting>
  <conditionalFormatting sqref="C3:C4">
    <cfRule type="cellIs" dxfId="23" priority="9" stopIfTrue="1" operator="notEqual">
      <formula>""</formula>
    </cfRule>
  </conditionalFormatting>
  <conditionalFormatting sqref="E36:F38">
    <cfRule type="cellIs" dxfId="22" priority="7" stopIfTrue="1" operator="notEqual">
      <formula>""</formula>
    </cfRule>
  </conditionalFormatting>
  <conditionalFormatting sqref="E39:F41">
    <cfRule type="cellIs" dxfId="21" priority="4" stopIfTrue="1" operator="notEqual">
      <formula>""</formula>
    </cfRule>
  </conditionalFormatting>
  <conditionalFormatting sqref="G33:G41">
    <cfRule type="cellIs" dxfId="20" priority="1" stopIfTrue="1" operator="notEqual">
      <formula>""</formula>
    </cfRule>
  </conditionalFormatting>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47" r:id="rId4" name="Check Box 7">
              <controlPr defaultSize="0" autoFill="0" autoLine="0" autoPict="0" altText="Yes_x000a_No">
                <anchor>
                  <from>
                    <xdr:col>2</xdr:col>
                    <xdr:colOff>552450</xdr:colOff>
                    <xdr:row>11</xdr:row>
                    <xdr:rowOff>47625</xdr:rowOff>
                  </from>
                  <to>
                    <xdr:col>3</xdr:col>
                    <xdr:colOff>142875</xdr:colOff>
                    <xdr:row>11</xdr:row>
                    <xdr:rowOff>361950</xdr:rowOff>
                  </to>
                </anchor>
              </controlPr>
            </control>
          </mc:Choice>
        </mc:AlternateContent>
        <mc:AlternateContent xmlns:mc="http://schemas.openxmlformats.org/markup-compatibility/2006">
          <mc:Choice Requires="x14">
            <control shapeId="10249" r:id="rId5" name="Check Box 9">
              <controlPr defaultSize="0" autoFill="0" autoLine="0" autoPict="0">
                <anchor>
                  <from>
                    <xdr:col>9</xdr:col>
                    <xdr:colOff>561975</xdr:colOff>
                    <xdr:row>15</xdr:row>
                    <xdr:rowOff>0</xdr:rowOff>
                  </from>
                  <to>
                    <xdr:col>9</xdr:col>
                    <xdr:colOff>752475</xdr:colOff>
                    <xdr:row>15</xdr:row>
                    <xdr:rowOff>285750</xdr:rowOff>
                  </to>
                </anchor>
              </controlPr>
            </control>
          </mc:Choice>
        </mc:AlternateContent>
        <mc:AlternateContent xmlns:mc="http://schemas.openxmlformats.org/markup-compatibility/2006">
          <mc:Choice Requires="x14">
            <control shapeId="10250" r:id="rId6" name="Check Box 10">
              <controlPr defaultSize="0" autoFill="0" autoLine="0" autoPict="0" macro="[0]!CheckBox10_Click">
                <anchor>
                  <from>
                    <xdr:col>9</xdr:col>
                    <xdr:colOff>561975</xdr:colOff>
                    <xdr:row>13</xdr:row>
                    <xdr:rowOff>28575</xdr:rowOff>
                  </from>
                  <to>
                    <xdr:col>9</xdr:col>
                    <xdr:colOff>742950</xdr:colOff>
                    <xdr:row>13</xdr:row>
                    <xdr:rowOff>333375</xdr:rowOff>
                  </to>
                </anchor>
              </controlPr>
            </control>
          </mc:Choice>
        </mc:AlternateContent>
        <mc:AlternateContent xmlns:mc="http://schemas.openxmlformats.org/markup-compatibility/2006">
          <mc:Choice Requires="x14">
            <control shapeId="10251" r:id="rId7" name="Check Box 11">
              <controlPr defaultSize="0" autoFill="0" autoLine="0" autoPict="0">
                <anchor>
                  <from>
                    <xdr:col>9</xdr:col>
                    <xdr:colOff>561975</xdr:colOff>
                    <xdr:row>14</xdr:row>
                    <xdr:rowOff>28575</xdr:rowOff>
                  </from>
                  <to>
                    <xdr:col>9</xdr:col>
                    <xdr:colOff>742950</xdr:colOff>
                    <xdr:row>14</xdr:row>
                    <xdr:rowOff>333375</xdr:rowOff>
                  </to>
                </anchor>
              </controlPr>
            </control>
          </mc:Choice>
        </mc:AlternateContent>
        <mc:AlternateContent xmlns:mc="http://schemas.openxmlformats.org/markup-compatibility/2006">
          <mc:Choice Requires="x14">
            <control shapeId="10253" r:id="rId8" name="Check Box 13">
              <controlPr defaultSize="0" autoFill="0" autoLine="0" autoPict="0">
                <anchor>
                  <from>
                    <xdr:col>9</xdr:col>
                    <xdr:colOff>552450</xdr:colOff>
                    <xdr:row>16</xdr:row>
                    <xdr:rowOff>19050</xdr:rowOff>
                  </from>
                  <to>
                    <xdr:col>9</xdr:col>
                    <xdr:colOff>742950</xdr:colOff>
                    <xdr:row>16</xdr:row>
                    <xdr:rowOff>323850</xdr:rowOff>
                  </to>
                </anchor>
              </controlPr>
            </control>
          </mc:Choice>
        </mc:AlternateContent>
        <mc:AlternateContent xmlns:mc="http://schemas.openxmlformats.org/markup-compatibility/2006">
          <mc:Choice Requires="x14">
            <control shapeId="10254" r:id="rId9" name="Check Box 14">
              <controlPr defaultSize="0" autoFill="0" autoLine="0" autoPict="0">
                <anchor>
                  <from>
                    <xdr:col>6</xdr:col>
                    <xdr:colOff>333375</xdr:colOff>
                    <xdr:row>17</xdr:row>
                    <xdr:rowOff>38100</xdr:rowOff>
                  </from>
                  <to>
                    <xdr:col>6</xdr:col>
                    <xdr:colOff>523875</xdr:colOff>
                    <xdr:row>17</xdr:row>
                    <xdr:rowOff>342900</xdr:rowOff>
                  </to>
                </anchor>
              </controlPr>
            </control>
          </mc:Choice>
        </mc:AlternateContent>
        <mc:AlternateContent xmlns:mc="http://schemas.openxmlformats.org/markup-compatibility/2006">
          <mc:Choice Requires="x14">
            <control shapeId="10255" r:id="rId10" name="Check Box 15">
              <controlPr defaultSize="0" autoFill="0" autoLine="0" autoPict="0">
                <anchor>
                  <from>
                    <xdr:col>6</xdr:col>
                    <xdr:colOff>333375</xdr:colOff>
                    <xdr:row>17</xdr:row>
                    <xdr:rowOff>371475</xdr:rowOff>
                  </from>
                  <to>
                    <xdr:col>6</xdr:col>
                    <xdr:colOff>523875</xdr:colOff>
                    <xdr:row>18</xdr:row>
                    <xdr:rowOff>295275</xdr:rowOff>
                  </to>
                </anchor>
              </controlPr>
            </control>
          </mc:Choice>
        </mc:AlternateContent>
        <mc:AlternateContent xmlns:mc="http://schemas.openxmlformats.org/markup-compatibility/2006">
          <mc:Choice Requires="x14">
            <control shapeId="10256" r:id="rId11" name="Check Box 16">
              <controlPr defaultSize="0" autoFill="0" autoLine="0" autoPict="0">
                <anchor>
                  <from>
                    <xdr:col>6</xdr:col>
                    <xdr:colOff>333375</xdr:colOff>
                    <xdr:row>19</xdr:row>
                    <xdr:rowOff>57150</xdr:rowOff>
                  </from>
                  <to>
                    <xdr:col>6</xdr:col>
                    <xdr:colOff>523875</xdr:colOff>
                    <xdr:row>19</xdr:row>
                    <xdr:rowOff>361950</xdr:rowOff>
                  </to>
                </anchor>
              </controlPr>
            </control>
          </mc:Choice>
        </mc:AlternateContent>
        <mc:AlternateContent xmlns:mc="http://schemas.openxmlformats.org/markup-compatibility/2006">
          <mc:Choice Requires="x14">
            <control shapeId="10257" r:id="rId12" name="Check Box 17">
              <controlPr defaultSize="0" autoFill="0" autoLine="0" autoPict="0">
                <anchor>
                  <from>
                    <xdr:col>6</xdr:col>
                    <xdr:colOff>314325</xdr:colOff>
                    <xdr:row>20</xdr:row>
                    <xdr:rowOff>28575</xdr:rowOff>
                  </from>
                  <to>
                    <xdr:col>6</xdr:col>
                    <xdr:colOff>504825</xdr:colOff>
                    <xdr:row>20</xdr:row>
                    <xdr:rowOff>314325</xdr:rowOff>
                  </to>
                </anchor>
              </controlPr>
            </control>
          </mc:Choice>
        </mc:AlternateContent>
        <mc:AlternateContent xmlns:mc="http://schemas.openxmlformats.org/markup-compatibility/2006">
          <mc:Choice Requires="x14">
            <control shapeId="10259" r:id="rId13" name="Check Box 19">
              <controlPr defaultSize="0" autoFill="0" autoLine="0" autoPict="0">
                <anchor>
                  <from>
                    <xdr:col>6</xdr:col>
                    <xdr:colOff>314325</xdr:colOff>
                    <xdr:row>24</xdr:row>
                    <xdr:rowOff>66675</xdr:rowOff>
                  </from>
                  <to>
                    <xdr:col>6</xdr:col>
                    <xdr:colOff>504825</xdr:colOff>
                    <xdr:row>24</xdr:row>
                    <xdr:rowOff>352425</xdr:rowOff>
                  </to>
                </anchor>
              </controlPr>
            </control>
          </mc:Choice>
        </mc:AlternateContent>
        <mc:AlternateContent xmlns:mc="http://schemas.openxmlformats.org/markup-compatibility/2006">
          <mc:Choice Requires="x14">
            <control shapeId="10260" r:id="rId14" name="Check Box 20">
              <controlPr defaultSize="0" autoFill="0" autoLine="0" autoPict="0">
                <anchor>
                  <from>
                    <xdr:col>6</xdr:col>
                    <xdr:colOff>314325</xdr:colOff>
                    <xdr:row>25</xdr:row>
                    <xdr:rowOff>76200</xdr:rowOff>
                  </from>
                  <to>
                    <xdr:col>6</xdr:col>
                    <xdr:colOff>504825</xdr:colOff>
                    <xdr:row>25</xdr:row>
                    <xdr:rowOff>361950</xdr:rowOff>
                  </to>
                </anchor>
              </controlPr>
            </control>
          </mc:Choice>
        </mc:AlternateContent>
        <mc:AlternateContent xmlns:mc="http://schemas.openxmlformats.org/markup-compatibility/2006">
          <mc:Choice Requires="x14">
            <control shapeId="10261" r:id="rId15" name="Check Box 21">
              <controlPr defaultSize="0" autoFill="0" autoLine="0" autoPict="0">
                <anchor>
                  <from>
                    <xdr:col>6</xdr:col>
                    <xdr:colOff>314325</xdr:colOff>
                    <xdr:row>26</xdr:row>
                    <xdr:rowOff>76200</xdr:rowOff>
                  </from>
                  <to>
                    <xdr:col>6</xdr:col>
                    <xdr:colOff>504825</xdr:colOff>
                    <xdr:row>26</xdr:row>
                    <xdr:rowOff>361950</xdr:rowOff>
                  </to>
                </anchor>
              </controlPr>
            </control>
          </mc:Choice>
        </mc:AlternateContent>
        <mc:AlternateContent xmlns:mc="http://schemas.openxmlformats.org/markup-compatibility/2006">
          <mc:Choice Requires="x14">
            <control shapeId="10262" r:id="rId16" name="Check Box 22">
              <controlPr defaultSize="0" autoFill="0" autoLine="0" autoPict="0">
                <anchor>
                  <from>
                    <xdr:col>6</xdr:col>
                    <xdr:colOff>314325</xdr:colOff>
                    <xdr:row>27</xdr:row>
                    <xdr:rowOff>76200</xdr:rowOff>
                  </from>
                  <to>
                    <xdr:col>6</xdr:col>
                    <xdr:colOff>504825</xdr:colOff>
                    <xdr:row>27</xdr:row>
                    <xdr:rowOff>361950</xdr:rowOff>
                  </to>
                </anchor>
              </controlPr>
            </control>
          </mc:Choice>
        </mc:AlternateContent>
        <mc:AlternateContent xmlns:mc="http://schemas.openxmlformats.org/markup-compatibility/2006">
          <mc:Choice Requires="x14">
            <control shapeId="10264" r:id="rId17" name="Check Box 24">
              <controlPr defaultSize="0" autoFill="0" autoLine="0" autoPict="0">
                <anchor>
                  <from>
                    <xdr:col>6</xdr:col>
                    <xdr:colOff>314325</xdr:colOff>
                    <xdr:row>28</xdr:row>
                    <xdr:rowOff>47625</xdr:rowOff>
                  </from>
                  <to>
                    <xdr:col>6</xdr:col>
                    <xdr:colOff>504825</xdr:colOff>
                    <xdr:row>28</xdr:row>
                    <xdr:rowOff>342900</xdr:rowOff>
                  </to>
                </anchor>
              </controlPr>
            </control>
          </mc:Choice>
        </mc:AlternateContent>
        <mc:AlternateContent xmlns:mc="http://schemas.openxmlformats.org/markup-compatibility/2006">
          <mc:Choice Requires="x14">
            <control shapeId="10267" r:id="rId18" name="Check Box 27">
              <controlPr defaultSize="0" autoFill="0" autoLine="0" autoPict="0">
                <anchor>
                  <from>
                    <xdr:col>6</xdr:col>
                    <xdr:colOff>314325</xdr:colOff>
                    <xdr:row>21</xdr:row>
                    <xdr:rowOff>28575</xdr:rowOff>
                  </from>
                  <to>
                    <xdr:col>6</xdr:col>
                    <xdr:colOff>504825</xdr:colOff>
                    <xdr:row>21</xdr:row>
                    <xdr:rowOff>314325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AECE6-0F55-4527-B066-3675F67865B8}">
  <sheetPr>
    <tabColor rgb="FFFFC000"/>
  </sheetPr>
  <dimension ref="A1:F35"/>
  <sheetViews>
    <sheetView zoomScale="70" zoomScaleNormal="70" workbookViewId="0">
      <selection activeCell="B21" sqref="B21"/>
    </sheetView>
  </sheetViews>
  <sheetFormatPr defaultRowHeight="15.75" x14ac:dyDescent="0.25"/>
  <cols>
    <col min="1" max="1" width="20.28515625" style="51" customWidth="1"/>
    <col min="2" max="2" width="89" style="51" customWidth="1"/>
    <col min="3" max="3" width="57.140625" style="51" customWidth="1"/>
    <col min="4" max="4" width="35.140625" style="51" customWidth="1"/>
    <col min="5" max="5" width="35" style="51" customWidth="1"/>
    <col min="6" max="6" width="38.7109375" style="51" customWidth="1"/>
  </cols>
  <sheetData>
    <row r="1" spans="1:6" ht="40.5" customHeight="1" x14ac:dyDescent="0.25">
      <c r="A1" s="123" t="s">
        <v>204</v>
      </c>
      <c r="B1" s="499"/>
      <c r="C1" s="499"/>
      <c r="D1" s="499"/>
      <c r="E1" s="499"/>
      <c r="F1" s="500"/>
    </row>
    <row r="2" spans="1:6" x14ac:dyDescent="0.25">
      <c r="A2" s="124"/>
      <c r="B2" s="125"/>
      <c r="C2" s="125" t="s">
        <v>216</v>
      </c>
      <c r="D2" s="125" t="s">
        <v>217</v>
      </c>
      <c r="E2" s="125" t="s">
        <v>218</v>
      </c>
      <c r="F2" s="126" t="s">
        <v>219</v>
      </c>
    </row>
    <row r="3" spans="1:6" x14ac:dyDescent="0.25">
      <c r="A3" s="502" t="s">
        <v>202</v>
      </c>
      <c r="B3" s="501"/>
      <c r="C3" s="129"/>
      <c r="D3" s="128"/>
      <c r="E3" s="129"/>
      <c r="F3" s="270"/>
    </row>
    <row r="4" spans="1:6" x14ac:dyDescent="0.25">
      <c r="A4" s="503"/>
      <c r="B4" s="501"/>
      <c r="C4" s="129"/>
      <c r="D4" s="128"/>
      <c r="E4" s="129"/>
      <c r="F4" s="270"/>
    </row>
    <row r="5" spans="1:6" x14ac:dyDescent="0.25">
      <c r="A5" s="496" t="s">
        <v>203</v>
      </c>
      <c r="B5" s="495"/>
      <c r="C5" s="270"/>
      <c r="D5" s="132"/>
      <c r="E5" s="316"/>
      <c r="F5" s="270"/>
    </row>
    <row r="6" spans="1:6" x14ac:dyDescent="0.25">
      <c r="A6" s="497"/>
      <c r="B6" s="495"/>
      <c r="C6" s="133"/>
      <c r="D6" s="128"/>
      <c r="E6" s="129"/>
      <c r="F6" s="270"/>
    </row>
    <row r="7" spans="1:6" x14ac:dyDescent="0.25">
      <c r="A7" s="127" t="s">
        <v>205</v>
      </c>
      <c r="B7" s="270"/>
      <c r="C7" s="270"/>
      <c r="D7" s="270"/>
      <c r="E7" s="270"/>
      <c r="F7" s="270"/>
    </row>
    <row r="8" spans="1:6" x14ac:dyDescent="0.25">
      <c r="A8" s="496" t="s">
        <v>206</v>
      </c>
      <c r="B8" s="498"/>
      <c r="C8" s="498"/>
      <c r="D8" s="498"/>
      <c r="E8" s="498"/>
      <c r="F8" s="498"/>
    </row>
    <row r="9" spans="1:6" x14ac:dyDescent="0.25">
      <c r="A9" s="504"/>
      <c r="B9" s="498"/>
      <c r="C9" s="498"/>
      <c r="D9" s="498"/>
      <c r="E9" s="498"/>
      <c r="F9" s="498"/>
    </row>
    <row r="10" spans="1:6" x14ac:dyDescent="0.25">
      <c r="A10" s="504"/>
      <c r="B10" s="498"/>
      <c r="C10" s="498"/>
      <c r="D10" s="498"/>
      <c r="E10" s="498"/>
      <c r="F10" s="498"/>
    </row>
    <row r="11" spans="1:6" x14ac:dyDescent="0.25">
      <c r="A11" s="504"/>
      <c r="B11" s="498"/>
      <c r="C11" s="498"/>
      <c r="D11" s="498"/>
      <c r="E11" s="498"/>
      <c r="F11" s="498"/>
    </row>
    <row r="12" spans="1:6" x14ac:dyDescent="0.25">
      <c r="A12" s="504"/>
      <c r="B12" s="498"/>
      <c r="C12" s="498"/>
      <c r="D12" s="498"/>
      <c r="E12" s="498"/>
      <c r="F12" s="498"/>
    </row>
    <row r="13" spans="1:6" x14ac:dyDescent="0.25">
      <c r="A13" s="504"/>
      <c r="B13" s="498"/>
      <c r="C13" s="498"/>
      <c r="D13" s="498"/>
      <c r="E13" s="498"/>
      <c r="F13" s="498"/>
    </row>
    <row r="14" spans="1:6" x14ac:dyDescent="0.25">
      <c r="A14" s="504"/>
      <c r="B14" s="498"/>
      <c r="C14" s="498"/>
      <c r="D14" s="498"/>
      <c r="E14" s="498"/>
      <c r="F14" s="498"/>
    </row>
    <row r="15" spans="1:6" ht="15.75" customHeight="1" x14ac:dyDescent="0.25">
      <c r="A15" s="504"/>
      <c r="B15" s="498"/>
      <c r="C15" s="498"/>
      <c r="D15" s="498"/>
      <c r="E15" s="498"/>
      <c r="F15" s="498"/>
    </row>
    <row r="16" spans="1:6" ht="15.75" customHeight="1" x14ac:dyDescent="0.25">
      <c r="A16" s="497"/>
      <c r="B16" s="498"/>
      <c r="C16" s="498"/>
      <c r="D16" s="498"/>
      <c r="E16" s="498"/>
      <c r="F16" s="498"/>
    </row>
    <row r="17" spans="1:6" x14ac:dyDescent="0.25">
      <c r="A17" s="127" t="s">
        <v>207</v>
      </c>
      <c r="B17" s="270"/>
      <c r="C17" s="129"/>
      <c r="D17" s="270"/>
      <c r="E17" s="270"/>
      <c r="F17" s="270"/>
    </row>
    <row r="18" spans="1:6" x14ac:dyDescent="0.25">
      <c r="A18" s="496" t="s">
        <v>208</v>
      </c>
      <c r="B18" s="505"/>
      <c r="C18" s="270"/>
      <c r="D18" s="128"/>
      <c r="E18" s="316"/>
      <c r="F18" s="270"/>
    </row>
    <row r="19" spans="1:6" x14ac:dyDescent="0.25">
      <c r="A19" s="504"/>
      <c r="B19" s="505"/>
      <c r="C19" s="129"/>
      <c r="D19" s="132"/>
      <c r="E19" s="129"/>
      <c r="F19" s="270"/>
    </row>
    <row r="20" spans="1:6" x14ac:dyDescent="0.25">
      <c r="A20" s="127" t="s">
        <v>209</v>
      </c>
      <c r="B20" s="270"/>
      <c r="C20" s="270"/>
      <c r="D20" s="270"/>
      <c r="E20" s="270"/>
      <c r="F20" s="270"/>
    </row>
    <row r="21" spans="1:6" x14ac:dyDescent="0.25">
      <c r="A21" s="127" t="s">
        <v>210</v>
      </c>
      <c r="B21" s="270"/>
      <c r="C21" s="129"/>
      <c r="D21" s="270"/>
      <c r="E21" s="270"/>
      <c r="F21" s="270"/>
    </row>
    <row r="22" spans="1:6" x14ac:dyDescent="0.25">
      <c r="A22" s="130" t="s">
        <v>211</v>
      </c>
      <c r="B22" s="498"/>
      <c r="C22" s="498"/>
      <c r="D22" s="498"/>
      <c r="E22" s="498"/>
      <c r="F22" s="498"/>
    </row>
    <row r="23" spans="1:6" x14ac:dyDescent="0.25">
      <c r="A23" s="512" t="s">
        <v>212</v>
      </c>
      <c r="B23" s="505"/>
      <c r="C23" s="270"/>
      <c r="D23" s="132"/>
      <c r="E23" s="316"/>
      <c r="F23" s="270"/>
    </row>
    <row r="24" spans="1:6" x14ac:dyDescent="0.25">
      <c r="A24" s="513"/>
      <c r="B24" s="505"/>
      <c r="C24" s="129"/>
      <c r="D24" s="132"/>
      <c r="E24" s="129"/>
      <c r="F24" s="270"/>
    </row>
    <row r="25" spans="1:6" x14ac:dyDescent="0.25">
      <c r="A25" s="513"/>
      <c r="B25" s="505"/>
      <c r="C25" s="129"/>
      <c r="D25" s="132"/>
      <c r="E25" s="129"/>
      <c r="F25" s="270"/>
    </row>
    <row r="26" spans="1:6" x14ac:dyDescent="0.25">
      <c r="A26" s="514"/>
      <c r="B26" s="505"/>
      <c r="C26" s="129"/>
      <c r="D26" s="132"/>
      <c r="E26" s="129"/>
      <c r="F26" s="270"/>
    </row>
    <row r="27" spans="1:6" x14ac:dyDescent="0.25">
      <c r="A27" s="512" t="s">
        <v>213</v>
      </c>
      <c r="B27" s="515"/>
      <c r="C27" s="129"/>
      <c r="D27" s="269"/>
      <c r="E27" s="269"/>
      <c r="F27" s="315"/>
    </row>
    <row r="28" spans="1:6" x14ac:dyDescent="0.25">
      <c r="A28" s="513"/>
      <c r="B28" s="516"/>
      <c r="C28" s="129"/>
      <c r="D28" s="269"/>
      <c r="E28" s="269"/>
      <c r="F28" s="315"/>
    </row>
    <row r="29" spans="1:6" x14ac:dyDescent="0.25">
      <c r="A29" s="496" t="s">
        <v>214</v>
      </c>
      <c r="B29" s="509"/>
      <c r="C29" s="510"/>
      <c r="D29" s="510"/>
      <c r="E29" s="510"/>
      <c r="F29" s="511"/>
    </row>
    <row r="30" spans="1:6" x14ac:dyDescent="0.25">
      <c r="A30" s="504"/>
      <c r="B30" s="509"/>
      <c r="C30" s="510"/>
      <c r="D30" s="510"/>
      <c r="E30" s="510"/>
      <c r="F30" s="511"/>
    </row>
    <row r="31" spans="1:6" x14ac:dyDescent="0.25">
      <c r="A31" s="504"/>
      <c r="B31" s="509"/>
      <c r="C31" s="510"/>
      <c r="D31" s="510"/>
      <c r="E31" s="510"/>
      <c r="F31" s="511"/>
    </row>
    <row r="32" spans="1:6" x14ac:dyDescent="0.25">
      <c r="A32" s="497"/>
      <c r="B32" s="509"/>
      <c r="C32" s="510"/>
      <c r="D32" s="510"/>
      <c r="E32" s="510"/>
      <c r="F32" s="511"/>
    </row>
    <row r="33" spans="1:6" x14ac:dyDescent="0.25">
      <c r="A33" s="496" t="s">
        <v>215</v>
      </c>
      <c r="B33" s="517"/>
      <c r="C33" s="129"/>
      <c r="D33" s="128"/>
      <c r="E33" s="269"/>
      <c r="F33" s="315"/>
    </row>
    <row r="34" spans="1:6" x14ac:dyDescent="0.25">
      <c r="A34" s="497"/>
      <c r="B34" s="518"/>
      <c r="C34" s="129"/>
      <c r="D34" s="269"/>
      <c r="E34" s="269"/>
      <c r="F34" s="315"/>
    </row>
    <row r="35" spans="1:6" ht="16.5" thickBot="1" x14ac:dyDescent="0.3">
      <c r="A35" s="131" t="s">
        <v>211</v>
      </c>
      <c r="B35" s="506"/>
      <c r="C35" s="507"/>
      <c r="D35" s="507"/>
      <c r="E35" s="507"/>
      <c r="F35" s="508"/>
    </row>
  </sheetData>
  <mergeCells count="29">
    <mergeCell ref="B18:B19"/>
    <mergeCell ref="A18:A19"/>
    <mergeCell ref="B35:F35"/>
    <mergeCell ref="B32:F32"/>
    <mergeCell ref="B31:F31"/>
    <mergeCell ref="A29:A32"/>
    <mergeCell ref="B29:F29"/>
    <mergeCell ref="B22:F22"/>
    <mergeCell ref="A23:A26"/>
    <mergeCell ref="B23:B26"/>
    <mergeCell ref="B30:F30"/>
    <mergeCell ref="B27:B28"/>
    <mergeCell ref="A27:A28"/>
    <mergeCell ref="B33:B34"/>
    <mergeCell ref="A33:A34"/>
    <mergeCell ref="B15:F16"/>
    <mergeCell ref="A8:A16"/>
    <mergeCell ref="B10:F10"/>
    <mergeCell ref="B11:F11"/>
    <mergeCell ref="B12:F12"/>
    <mergeCell ref="B13:F13"/>
    <mergeCell ref="B14:F14"/>
    <mergeCell ref="B5:B6"/>
    <mergeCell ref="A5:A6"/>
    <mergeCell ref="B8:F8"/>
    <mergeCell ref="B9:F9"/>
    <mergeCell ref="B1:F1"/>
    <mergeCell ref="B3:B4"/>
    <mergeCell ref="A3:A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C000"/>
  </sheetPr>
  <dimension ref="A1:Q113"/>
  <sheetViews>
    <sheetView showGridLines="0" tabSelected="1" topLeftCell="A59" zoomScale="80" zoomScaleNormal="80" workbookViewId="0">
      <selection activeCell="E70" sqref="E70"/>
    </sheetView>
  </sheetViews>
  <sheetFormatPr defaultRowHeight="15" x14ac:dyDescent="0.25"/>
  <cols>
    <col min="3" max="3" width="24.140625" customWidth="1"/>
    <col min="4" max="4" width="13.140625" customWidth="1"/>
    <col min="7" max="7" width="10.85546875" customWidth="1"/>
    <col min="8" max="8" width="10.42578125" customWidth="1"/>
    <col min="9" max="9" width="29.5703125" customWidth="1"/>
    <col min="11" max="11" width="12.7109375" customWidth="1"/>
    <col min="12" max="12" width="11.28515625" customWidth="1"/>
    <col min="14" max="14" width="13.42578125" customWidth="1"/>
    <col min="15" max="15" width="17" customWidth="1"/>
    <col min="16" max="16" width="12.5703125" customWidth="1"/>
    <col min="17" max="17" width="13.5703125" customWidth="1"/>
    <col min="18" max="18" width="15.42578125" customWidth="1"/>
  </cols>
  <sheetData>
    <row r="1" spans="1:17" ht="15" customHeight="1" x14ac:dyDescent="0.25">
      <c r="A1" s="547"/>
      <c r="B1" s="548"/>
      <c r="C1" s="24" t="s">
        <v>109</v>
      </c>
      <c r="D1" s="25">
        <f>'Poject Info. Sheet'!C6</f>
        <v>0</v>
      </c>
      <c r="E1" s="547" t="s">
        <v>94</v>
      </c>
      <c r="F1" s="548"/>
      <c r="G1" s="548"/>
      <c r="H1" s="548"/>
      <c r="I1" s="549"/>
      <c r="J1" s="550" t="s">
        <v>129</v>
      </c>
      <c r="K1" s="551"/>
      <c r="L1" s="552"/>
      <c r="M1" s="553" t="s">
        <v>130</v>
      </c>
      <c r="N1" s="554"/>
      <c r="O1" s="521" t="s">
        <v>346</v>
      </c>
      <c r="P1" s="521"/>
      <c r="Q1" s="521"/>
    </row>
    <row r="2" spans="1:17" ht="15" customHeight="1" x14ac:dyDescent="0.25">
      <c r="A2" s="547"/>
      <c r="B2" s="548"/>
      <c r="C2" s="24" t="s">
        <v>110</v>
      </c>
      <c r="D2" s="26">
        <f>'Poject Info. Sheet'!H6</f>
        <v>0</v>
      </c>
      <c r="E2" s="547"/>
      <c r="F2" s="548"/>
      <c r="G2" s="548"/>
      <c r="H2" s="548"/>
      <c r="I2" s="549"/>
      <c r="J2" s="555" t="s">
        <v>131</v>
      </c>
      <c r="K2" s="556"/>
      <c r="L2" s="61" t="e">
        <f ca="1">DAYS360(D1,A5)/DAYS360(D1,D2)</f>
        <v>#DIV/0!</v>
      </c>
      <c r="M2" s="541" t="e">
        <f ca="1">100%-L2</f>
        <v>#DIV/0!</v>
      </c>
      <c r="N2" s="542"/>
      <c r="O2" s="521"/>
      <c r="P2" s="521"/>
      <c r="Q2" s="521"/>
    </row>
    <row r="3" spans="1:17" ht="15" customHeight="1" x14ac:dyDescent="0.25">
      <c r="A3" s="547"/>
      <c r="B3" s="548"/>
      <c r="C3" s="24" t="s">
        <v>140</v>
      </c>
      <c r="D3" s="72" t="s">
        <v>347</v>
      </c>
      <c r="E3" s="547"/>
      <c r="F3" s="548"/>
      <c r="G3" s="548"/>
      <c r="H3" s="548"/>
      <c r="I3" s="549"/>
      <c r="J3" s="539" t="s">
        <v>132</v>
      </c>
      <c r="K3" s="540"/>
      <c r="L3" s="62" t="e">
        <f>'Project Work plan'!$C$118</f>
        <v>#DIV/0!</v>
      </c>
      <c r="M3" s="541" t="e">
        <f>100%-L3</f>
        <v>#DIV/0!</v>
      </c>
      <c r="N3" s="542"/>
      <c r="O3" s="521"/>
      <c r="P3" s="521"/>
      <c r="Q3" s="521"/>
    </row>
    <row r="4" spans="1:17" ht="15" customHeight="1" x14ac:dyDescent="0.25">
      <c r="A4" s="547"/>
      <c r="B4" s="548"/>
      <c r="C4" s="24" t="s">
        <v>95</v>
      </c>
      <c r="D4" s="27" t="s">
        <v>347</v>
      </c>
      <c r="E4" s="547"/>
      <c r="F4" s="548"/>
      <c r="G4" s="548"/>
      <c r="H4" s="548"/>
      <c r="I4" s="549"/>
      <c r="J4" s="543" t="s">
        <v>133</v>
      </c>
      <c r="K4" s="544"/>
      <c r="L4" s="73" t="e">
        <f>D3/'Poject Info. Sheet'!C9</f>
        <v>#VALUE!</v>
      </c>
      <c r="M4" s="545">
        <f>38%</f>
        <v>0.38</v>
      </c>
      <c r="N4" s="546"/>
      <c r="O4" s="521"/>
      <c r="P4" s="521"/>
      <c r="Q4" s="521"/>
    </row>
    <row r="5" spans="1:17" ht="15" customHeight="1" x14ac:dyDescent="0.25">
      <c r="A5" s="562">
        <f ca="1">TODAY()</f>
        <v>44184</v>
      </c>
      <c r="B5" s="563"/>
      <c r="C5" s="563"/>
      <c r="D5" s="563"/>
      <c r="E5" s="563"/>
      <c r="F5" s="563"/>
      <c r="G5" s="563"/>
      <c r="H5" s="563"/>
      <c r="I5" s="563"/>
      <c r="J5" s="563"/>
      <c r="K5" s="563"/>
      <c r="L5" s="563"/>
      <c r="M5" s="563"/>
      <c r="N5" s="563"/>
      <c r="O5" s="521"/>
      <c r="P5" s="521"/>
      <c r="Q5" s="521"/>
    </row>
    <row r="6" spans="1:17" x14ac:dyDescent="0.25">
      <c r="A6" s="560" t="s">
        <v>96</v>
      </c>
      <c r="B6" s="560"/>
      <c r="C6" s="560"/>
      <c r="D6" s="560"/>
      <c r="E6" s="560"/>
      <c r="F6" s="560"/>
      <c r="G6" s="560"/>
      <c r="H6" s="560"/>
      <c r="I6" s="560"/>
      <c r="J6" s="560"/>
      <c r="K6" s="560"/>
      <c r="L6" s="560"/>
      <c r="M6" s="560"/>
      <c r="N6" s="561"/>
      <c r="O6" s="521"/>
      <c r="P6" s="521"/>
      <c r="Q6" s="521"/>
    </row>
    <row r="8" spans="1:17" ht="19.5" customHeight="1" x14ac:dyDescent="0.25">
      <c r="B8" s="31"/>
      <c r="C8" s="36"/>
    </row>
    <row r="9" spans="1:17" ht="22.5" customHeight="1" x14ac:dyDescent="0.25">
      <c r="B9" s="31"/>
      <c r="C9" s="34"/>
    </row>
    <row r="10" spans="1:17" ht="22.5" customHeight="1" x14ac:dyDescent="0.25">
      <c r="B10" s="31"/>
      <c r="C10" s="31"/>
    </row>
    <row r="11" spans="1:17" ht="22.5" customHeight="1" x14ac:dyDescent="0.25">
      <c r="B11" s="31"/>
      <c r="C11" s="34"/>
    </row>
    <row r="12" spans="1:17" ht="22.5" customHeight="1" x14ac:dyDescent="0.25">
      <c r="B12" s="31"/>
      <c r="C12" s="31"/>
      <c r="E12" s="60"/>
    </row>
    <row r="13" spans="1:17" ht="22.5" customHeight="1" x14ac:dyDescent="0.25">
      <c r="B13" s="31"/>
      <c r="C13" s="34"/>
    </row>
    <row r="14" spans="1:17" ht="22.5" customHeight="1" x14ac:dyDescent="0.25">
      <c r="B14" s="31"/>
      <c r="C14" s="33"/>
    </row>
    <row r="15" spans="1:17" ht="22.5" customHeight="1" x14ac:dyDescent="0.25">
      <c r="B15" s="31"/>
      <c r="C15" s="33"/>
    </row>
    <row r="16" spans="1:17" ht="22.5" customHeight="1" x14ac:dyDescent="0.25">
      <c r="B16" s="31"/>
      <c r="C16" s="33"/>
    </row>
    <row r="17" spans="1:17" ht="22.5" customHeight="1" x14ac:dyDescent="0.25">
      <c r="B17" s="536" t="s">
        <v>114</v>
      </c>
      <c r="C17" s="537"/>
      <c r="D17" s="538"/>
      <c r="G17" s="536" t="s">
        <v>14</v>
      </c>
      <c r="H17" s="537"/>
      <c r="I17" s="538"/>
      <c r="K17" s="564" t="s">
        <v>141</v>
      </c>
      <c r="L17" s="565"/>
      <c r="M17" s="566"/>
      <c r="O17" s="536" t="s">
        <v>276</v>
      </c>
      <c r="P17" s="537"/>
      <c r="Q17" s="538"/>
    </row>
    <row r="18" spans="1:17" ht="18.75" x14ac:dyDescent="0.3">
      <c r="B18" s="557"/>
      <c r="C18" s="558"/>
      <c r="D18" s="559"/>
      <c r="E18" s="75"/>
      <c r="F18" s="75"/>
      <c r="G18" s="557"/>
      <c r="H18" s="558"/>
      <c r="I18" s="559"/>
      <c r="J18" s="75"/>
      <c r="K18" s="204" t="str">
        <f>'Project Work plan'!A108</f>
        <v>Activity 1.1</v>
      </c>
      <c r="L18" s="207" t="e">
        <f>'Project Work plan'!C108</f>
        <v>#DIV/0!</v>
      </c>
      <c r="M18" s="208"/>
      <c r="O18" s="74" t="s">
        <v>277</v>
      </c>
      <c r="P18" s="174" t="e">
        <f>AVERAGE('Project Work plan'!C108:C110)</f>
        <v>#DIV/0!</v>
      </c>
      <c r="Q18" s="175"/>
    </row>
    <row r="19" spans="1:17" ht="21" x14ac:dyDescent="0.35">
      <c r="B19" s="35"/>
      <c r="C19" s="523">
        <f>'Beneficiaries Breakdown'!D7</f>
        <v>125</v>
      </c>
      <c r="D19" s="524"/>
      <c r="G19" s="530">
        <f>'Beneficiaries Breakdown'!C35</f>
        <v>8</v>
      </c>
      <c r="H19" s="531"/>
      <c r="I19" s="532"/>
      <c r="K19" s="205" t="str">
        <f>'Project Work plan'!A109</f>
        <v>Activity 1.2</v>
      </c>
      <c r="L19" s="209" t="e">
        <f>'Project Work plan'!C109</f>
        <v>#DIV/0!</v>
      </c>
      <c r="M19" s="175"/>
      <c r="O19" s="74"/>
      <c r="P19" s="174"/>
      <c r="Q19" s="175"/>
    </row>
    <row r="20" spans="1:17" ht="21" x14ac:dyDescent="0.35">
      <c r="B20" s="522"/>
      <c r="C20" s="523"/>
      <c r="D20" s="524"/>
      <c r="G20" s="530"/>
      <c r="H20" s="531"/>
      <c r="I20" s="532"/>
      <c r="K20" s="205" t="str">
        <f>'Project Work plan'!A110</f>
        <v>Activity 1.3</v>
      </c>
      <c r="L20" s="209" t="e">
        <f>'Project Work plan'!C110</f>
        <v>#DIV/0!</v>
      </c>
      <c r="M20" s="175"/>
      <c r="O20" s="74" t="s">
        <v>266</v>
      </c>
      <c r="P20" s="174" t="e">
        <f>AVERAGE('Project Work plan'!C111:C115)</f>
        <v>#DIV/0!</v>
      </c>
      <c r="Q20" s="175"/>
    </row>
    <row r="21" spans="1:17" ht="21" x14ac:dyDescent="0.35">
      <c r="B21" s="522"/>
      <c r="C21" s="523"/>
      <c r="D21" s="524"/>
      <c r="G21" s="530">
        <f>'Beneficiaries Breakdown'!D35</f>
        <v>130</v>
      </c>
      <c r="H21" s="531"/>
      <c r="I21" s="532"/>
      <c r="K21" s="205" t="str">
        <f>'Project Work plan'!A111</f>
        <v>Activity 2.1</v>
      </c>
      <c r="L21" s="209" t="e">
        <f>'Project Work plan'!C111</f>
        <v>#DIV/0!</v>
      </c>
      <c r="M21" s="175"/>
      <c r="O21" s="74"/>
      <c r="P21" s="174"/>
      <c r="Q21" s="175"/>
    </row>
    <row r="22" spans="1:17" ht="21" x14ac:dyDescent="0.35">
      <c r="B22" s="35"/>
      <c r="C22" s="528">
        <f>'Beneficiaries Breakdown'!E7</f>
        <v>425</v>
      </c>
      <c r="D22" s="529"/>
      <c r="G22" s="223"/>
      <c r="H22" s="531"/>
      <c r="I22" s="532"/>
      <c r="K22" s="205" t="str">
        <f>'Project Work plan'!A112</f>
        <v>Activity 2.2</v>
      </c>
      <c r="L22" s="209" t="e">
        <f>'Project Work plan'!C112</f>
        <v>#DIV/0!</v>
      </c>
      <c r="M22" s="175"/>
      <c r="O22" s="74" t="s">
        <v>278</v>
      </c>
      <c r="P22" s="174" t="e">
        <f>AVERAGE('Project Work plan'!C116:C117)</f>
        <v>#DIV/0!</v>
      </c>
      <c r="Q22" s="175"/>
    </row>
    <row r="23" spans="1:17" ht="21" x14ac:dyDescent="0.35">
      <c r="B23" s="522"/>
      <c r="C23" s="523"/>
      <c r="D23" s="524"/>
      <c r="G23" s="530">
        <f>'Beneficiaries Breakdown'!E35</f>
        <v>398</v>
      </c>
      <c r="H23" s="531"/>
      <c r="I23" s="532"/>
      <c r="K23" s="205" t="str">
        <f>'Project Work plan'!A113</f>
        <v>Activity 2.3</v>
      </c>
      <c r="L23" s="209" t="e">
        <f>'Project Work plan'!C113</f>
        <v>#DIV/0!</v>
      </c>
      <c r="M23" s="175"/>
      <c r="O23" s="74"/>
      <c r="P23" s="174"/>
      <c r="Q23" s="175"/>
    </row>
    <row r="24" spans="1:17" ht="21" x14ac:dyDescent="0.35">
      <c r="B24" s="525"/>
      <c r="C24" s="526"/>
      <c r="D24" s="527"/>
      <c r="G24" s="533"/>
      <c r="H24" s="534"/>
      <c r="I24" s="535"/>
      <c r="K24" s="205" t="str">
        <f>'Project Work plan'!A114</f>
        <v>Activity 2.4</v>
      </c>
      <c r="L24" s="209" t="e">
        <f>'Project Work plan'!C114</f>
        <v>#DIV/0!</v>
      </c>
      <c r="M24" s="175"/>
      <c r="O24" s="37"/>
      <c r="P24" s="31"/>
      <c r="Q24" s="30"/>
    </row>
    <row r="25" spans="1:17" ht="21" x14ac:dyDescent="0.35">
      <c r="B25" s="176"/>
      <c r="C25" s="523">
        <f>SUM('Beneficiaries Breakdown'!F7:G7)</f>
        <v>8</v>
      </c>
      <c r="D25" s="524"/>
      <c r="G25" s="530">
        <f>SUM('Beneficiaries Breakdown'!F35:G35)</f>
        <v>63</v>
      </c>
      <c r="H25" s="531"/>
      <c r="I25" s="532"/>
      <c r="K25" s="205" t="str">
        <f>'Project Work plan'!A115</f>
        <v>Activity 2.5</v>
      </c>
      <c r="L25" s="209" t="e">
        <f>'Project Work plan'!C115</f>
        <v>#DIV/0!</v>
      </c>
      <c r="M25" s="175"/>
      <c r="O25" s="37"/>
      <c r="P25" s="31"/>
      <c r="Q25" s="30"/>
    </row>
    <row r="26" spans="1:17" ht="15.75" x14ac:dyDescent="0.25">
      <c r="B26" s="28"/>
      <c r="C26" s="33"/>
      <c r="D26" s="214"/>
      <c r="G26" s="28"/>
      <c r="H26" s="33"/>
      <c r="I26" s="214"/>
      <c r="K26" s="205" t="str">
        <f>'Project Work plan'!A116</f>
        <v>Activity 3.1</v>
      </c>
      <c r="L26" s="209" t="e">
        <f>'Project Work plan'!C116</f>
        <v>#DIV/0!</v>
      </c>
      <c r="M26" s="175"/>
      <c r="O26" s="37"/>
      <c r="P26" s="31"/>
      <c r="Q26" s="30"/>
    </row>
    <row r="27" spans="1:17" ht="15.75" x14ac:dyDescent="0.25">
      <c r="B27" s="212"/>
      <c r="C27" s="29"/>
      <c r="D27" s="213"/>
      <c r="G27" s="212"/>
      <c r="H27" s="29"/>
      <c r="I27" s="213"/>
      <c r="K27" s="206" t="str">
        <f>'Project Work plan'!A117</f>
        <v>Activity 3.2</v>
      </c>
      <c r="L27" s="568" t="e">
        <f>'Project Work plan'!C117</f>
        <v>#DIV/0!</v>
      </c>
      <c r="M27" s="569"/>
      <c r="O27" s="212"/>
      <c r="P27" s="29"/>
      <c r="Q27" s="213"/>
    </row>
    <row r="29" spans="1:17" ht="15.75" x14ac:dyDescent="0.25">
      <c r="A29" s="567" t="s">
        <v>97</v>
      </c>
      <c r="B29" s="567"/>
      <c r="C29" s="567"/>
      <c r="D29" s="567"/>
      <c r="E29" s="567"/>
      <c r="F29" s="567"/>
      <c r="G29" s="567"/>
      <c r="H29" s="567"/>
      <c r="I29" s="567"/>
      <c r="J29" s="567"/>
      <c r="K29" s="567"/>
      <c r="L29" s="567"/>
      <c r="M29" s="567"/>
      <c r="N29" s="567"/>
      <c r="O29" s="567"/>
      <c r="P29" s="567"/>
      <c r="Q29" s="567"/>
    </row>
    <row r="30" spans="1:17" ht="14.25" customHeight="1" x14ac:dyDescent="0.25">
      <c r="C30" s="519" t="s">
        <v>142</v>
      </c>
      <c r="D30" s="520"/>
      <c r="E30" s="520"/>
      <c r="F30" s="520"/>
      <c r="I30" s="383"/>
      <c r="J30" s="519" t="s">
        <v>143</v>
      </c>
      <c r="K30" s="520"/>
      <c r="L30" s="520"/>
      <c r="M30" s="520"/>
      <c r="N30" s="520"/>
    </row>
    <row r="31" spans="1:17" ht="14.25" customHeight="1" x14ac:dyDescent="0.25"/>
    <row r="32" spans="1:17" ht="14.25" customHeight="1" x14ac:dyDescent="0.25"/>
    <row r="33" spans="3:14" ht="14.25" customHeight="1" x14ac:dyDescent="0.25"/>
    <row r="34" spans="3:14" ht="14.25" customHeight="1" x14ac:dyDescent="0.25"/>
    <row r="35" spans="3:14" ht="14.25" customHeight="1" x14ac:dyDescent="0.25"/>
    <row r="36" spans="3:14" ht="14.25" customHeight="1" x14ac:dyDescent="0.25"/>
    <row r="37" spans="3:14" ht="14.25" customHeight="1" x14ac:dyDescent="0.25"/>
    <row r="38" spans="3:14" ht="14.25" customHeight="1" x14ac:dyDescent="0.25"/>
    <row r="39" spans="3:14" ht="14.25" customHeight="1" x14ac:dyDescent="0.25"/>
    <row r="40" spans="3:14" ht="14.25" customHeight="1" x14ac:dyDescent="0.25"/>
    <row r="41" spans="3:14" ht="14.25" customHeight="1" x14ac:dyDescent="0.25"/>
    <row r="42" spans="3:14" ht="14.25" customHeight="1" x14ac:dyDescent="0.25"/>
    <row r="43" spans="3:14" ht="14.25" customHeight="1" x14ac:dyDescent="0.25"/>
    <row r="44" spans="3:14" ht="14.25" customHeight="1" x14ac:dyDescent="0.25"/>
    <row r="45" spans="3:14" ht="14.25" customHeight="1" x14ac:dyDescent="0.25"/>
    <row r="46" spans="3:14" ht="14.25" customHeight="1" x14ac:dyDescent="0.25"/>
    <row r="47" spans="3:14" ht="14.25" customHeight="1" x14ac:dyDescent="0.25">
      <c r="C47" s="519" t="s">
        <v>144</v>
      </c>
      <c r="D47" s="520"/>
      <c r="E47" s="520"/>
      <c r="F47" s="520"/>
      <c r="G47" s="520"/>
      <c r="J47" s="519" t="s">
        <v>145</v>
      </c>
      <c r="K47" s="520"/>
      <c r="L47" s="520"/>
      <c r="M47" s="520"/>
      <c r="N47" s="520"/>
    </row>
    <row r="48" spans="3:14" ht="14.25" customHeight="1" x14ac:dyDescent="0.25"/>
    <row r="49" spans="1:17" ht="14.25" customHeight="1" x14ac:dyDescent="0.25"/>
    <row r="50" spans="1:17" ht="14.25" customHeight="1" x14ac:dyDescent="0.25"/>
    <row r="51" spans="1:17" ht="14.25" customHeight="1" x14ac:dyDescent="0.25"/>
    <row r="52" spans="1:17" ht="14.25" customHeight="1" x14ac:dyDescent="0.25"/>
    <row r="53" spans="1:17" ht="14.25" customHeight="1" x14ac:dyDescent="0.25"/>
    <row r="54" spans="1:17" ht="14.25" customHeight="1" x14ac:dyDescent="0.25"/>
    <row r="55" spans="1:17" ht="14.25" customHeight="1" x14ac:dyDescent="0.25"/>
    <row r="56" spans="1:17" ht="14.25" customHeight="1" x14ac:dyDescent="0.25"/>
    <row r="57" spans="1:17" ht="14.25" customHeight="1" x14ac:dyDescent="0.25"/>
    <row r="58" spans="1:17" ht="14.25" customHeight="1" x14ac:dyDescent="0.25"/>
    <row r="59" spans="1:17" ht="14.25" customHeight="1" x14ac:dyDescent="0.25"/>
    <row r="60" spans="1:17" ht="14.25" customHeight="1" x14ac:dyDescent="0.25"/>
    <row r="61" spans="1:17" ht="14.25" customHeight="1" x14ac:dyDescent="0.25"/>
    <row r="62" spans="1:17" ht="14.25" customHeight="1" x14ac:dyDescent="0.25"/>
    <row r="63" spans="1:17" ht="14.25" customHeight="1" x14ac:dyDescent="0.25"/>
    <row r="64" spans="1:17" x14ac:dyDescent="0.25">
      <c r="A64" s="570" t="s">
        <v>98</v>
      </c>
      <c r="B64" s="571"/>
      <c r="C64" s="571"/>
      <c r="D64" s="571"/>
      <c r="E64" s="571"/>
      <c r="F64" s="571"/>
      <c r="G64" s="571"/>
      <c r="H64" s="571"/>
      <c r="I64" s="571"/>
      <c r="J64" s="571"/>
      <c r="K64" s="571"/>
      <c r="L64" s="571"/>
      <c r="M64" s="571"/>
      <c r="N64" s="571"/>
      <c r="O64" s="571"/>
      <c r="P64" s="571"/>
      <c r="Q64" s="571"/>
    </row>
    <row r="67" ht="14.25" customHeight="1" x14ac:dyDescent="0.25"/>
    <row r="68" ht="14.25" customHeight="1" x14ac:dyDescent="0.25"/>
    <row r="113" spans="1:17" x14ac:dyDescent="0.25">
      <c r="A113" s="570" t="s">
        <v>99</v>
      </c>
      <c r="B113" s="571"/>
      <c r="C113" s="571"/>
      <c r="D113" s="571"/>
      <c r="E113" s="571"/>
      <c r="F113" s="571"/>
      <c r="G113" s="571"/>
      <c r="H113" s="571"/>
      <c r="I113" s="571"/>
      <c r="J113" s="571"/>
      <c r="K113" s="571"/>
      <c r="L113" s="571"/>
      <c r="M113" s="571"/>
      <c r="N113" s="571"/>
      <c r="O113" s="571"/>
      <c r="P113" s="571"/>
      <c r="Q113" s="571"/>
    </row>
  </sheetData>
  <mergeCells count="41">
    <mergeCell ref="O17:Q17"/>
    <mergeCell ref="A113:Q113"/>
    <mergeCell ref="A29:Q29"/>
    <mergeCell ref="C25:D25"/>
    <mergeCell ref="G25:I25"/>
    <mergeCell ref="L27:M27"/>
    <mergeCell ref="A64:Q64"/>
    <mergeCell ref="A1:B4"/>
    <mergeCell ref="B18:D18"/>
    <mergeCell ref="B20:D20"/>
    <mergeCell ref="B21:D21"/>
    <mergeCell ref="A6:N6"/>
    <mergeCell ref="A5:N5"/>
    <mergeCell ref="G18:I18"/>
    <mergeCell ref="G20:I20"/>
    <mergeCell ref="C19:D19"/>
    <mergeCell ref="G19:I19"/>
    <mergeCell ref="K17:M17"/>
    <mergeCell ref="G17:I17"/>
    <mergeCell ref="M4:N4"/>
    <mergeCell ref="E1:I4"/>
    <mergeCell ref="J1:L1"/>
    <mergeCell ref="M1:N1"/>
    <mergeCell ref="J2:K2"/>
    <mergeCell ref="M2:N2"/>
    <mergeCell ref="C30:F30"/>
    <mergeCell ref="J30:N30"/>
    <mergeCell ref="C47:G47"/>
    <mergeCell ref="J47:N47"/>
    <mergeCell ref="O1:Q6"/>
    <mergeCell ref="B23:D23"/>
    <mergeCell ref="B24:D24"/>
    <mergeCell ref="C22:D22"/>
    <mergeCell ref="G23:I23"/>
    <mergeCell ref="G24:I24"/>
    <mergeCell ref="G21:I21"/>
    <mergeCell ref="H22:I22"/>
    <mergeCell ref="B17:D17"/>
    <mergeCell ref="J3:K3"/>
    <mergeCell ref="M3:N3"/>
    <mergeCell ref="J4:K4"/>
  </mergeCells>
  <phoneticPr fontId="18" type="noConversion"/>
  <conditionalFormatting sqref="L3:M3 M2 M4">
    <cfRule type="dataBar" priority="18">
      <dataBar>
        <cfvo type="min"/>
        <cfvo type="max"/>
        <color rgb="FF638EC6"/>
      </dataBar>
      <extLst>
        <ext xmlns:x14="http://schemas.microsoft.com/office/spreadsheetml/2009/9/main" uri="{B025F937-C7B1-47D3-B67F-A62EFF666E3E}">
          <x14:id>{01D2F1F0-9BC5-4C5D-AA83-3E72ECF096ED}</x14:id>
        </ext>
      </extLst>
    </cfRule>
  </conditionalFormatting>
  <conditionalFormatting sqref="M2:M4">
    <cfRule type="dataBar" priority="17">
      <dataBar>
        <cfvo type="min"/>
        <cfvo type="max"/>
        <color rgb="FF638EC6"/>
      </dataBar>
      <extLst>
        <ext xmlns:x14="http://schemas.microsoft.com/office/spreadsheetml/2009/9/main" uri="{B025F937-C7B1-47D3-B67F-A62EFF666E3E}">
          <x14:id>{553E786A-D4E5-4EFD-B021-D462AEDF9B7B}</x14:id>
        </ext>
      </extLst>
    </cfRule>
  </conditionalFormatting>
  <conditionalFormatting sqref="L2">
    <cfRule type="dataBar" priority="15">
      <dataBar>
        <cfvo type="formula" val="0"/>
        <cfvo type="formula" val="1"/>
        <color rgb="FF638EC6"/>
      </dataBar>
      <extLst>
        <ext xmlns:x14="http://schemas.microsoft.com/office/spreadsheetml/2009/9/main" uri="{B025F937-C7B1-47D3-B67F-A62EFF666E3E}">
          <x14:id>{BA264A60-EB9A-4494-81D6-1E992DC73D41}</x14:id>
        </ext>
      </extLst>
    </cfRule>
  </conditionalFormatting>
  <conditionalFormatting sqref="L4">
    <cfRule type="dataBar" priority="14">
      <dataBar>
        <cfvo type="formula" val="0"/>
        <cfvo type="formula" val="1"/>
        <color rgb="FF638EC6"/>
      </dataBar>
      <extLst>
        <ext xmlns:x14="http://schemas.microsoft.com/office/spreadsheetml/2009/9/main" uri="{B025F937-C7B1-47D3-B67F-A62EFF666E3E}">
          <x14:id>{466EF435-21B9-4558-B5F9-EEBD0D9E6050}</x14:id>
        </ext>
      </extLst>
    </cfRule>
  </conditionalFormatting>
  <conditionalFormatting sqref="L18:M27">
    <cfRule type="dataBar" priority="9">
      <dataBar>
        <cfvo type="formula" val="0"/>
        <cfvo type="formula" val="1"/>
        <color rgb="FF92D050"/>
      </dataBar>
      <extLst>
        <ext xmlns:x14="http://schemas.microsoft.com/office/spreadsheetml/2009/9/main" uri="{B025F937-C7B1-47D3-B67F-A62EFF666E3E}">
          <x14:id>{91C0E2D9-1E91-4559-BCCB-564F1304B4BF}</x14:id>
        </ext>
      </extLst>
    </cfRule>
  </conditionalFormatting>
  <conditionalFormatting sqref="P19:Q23 Q18">
    <cfRule type="dataBar" priority="2">
      <dataBar>
        <cfvo type="formula" val="0"/>
        <cfvo type="formula" val="1"/>
        <color rgb="FF92D050"/>
      </dataBar>
      <extLst>
        <ext xmlns:x14="http://schemas.microsoft.com/office/spreadsheetml/2009/9/main" uri="{B025F937-C7B1-47D3-B67F-A62EFF666E3E}">
          <x14:id>{C4850C44-937C-4D07-AF07-D1B130DEE7C6}</x14:id>
        </ext>
      </extLst>
    </cfRule>
  </conditionalFormatting>
  <conditionalFormatting sqref="P18">
    <cfRule type="dataBar" priority="1">
      <dataBar>
        <cfvo type="formula" val="0"/>
        <cfvo type="formula" val="1"/>
        <color rgb="FF92D050"/>
      </dataBar>
      <extLst>
        <ext xmlns:x14="http://schemas.microsoft.com/office/spreadsheetml/2009/9/main" uri="{B025F937-C7B1-47D3-B67F-A62EFF666E3E}">
          <x14:id>{79D08E6C-BB76-44C1-9CD7-7234916A2FFF}</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01D2F1F0-9BC5-4C5D-AA83-3E72ECF096ED}">
            <x14:dataBar minLength="0" maxLength="100" gradient="0">
              <x14:cfvo type="autoMin"/>
              <x14:cfvo type="autoMax"/>
              <x14:negativeFillColor rgb="FFFF0000"/>
              <x14:axisColor rgb="FF000000"/>
            </x14:dataBar>
          </x14:cfRule>
          <xm:sqref>L3:M3 M2 M4</xm:sqref>
        </x14:conditionalFormatting>
        <x14:conditionalFormatting xmlns:xm="http://schemas.microsoft.com/office/excel/2006/main">
          <x14:cfRule type="dataBar" id="{553E786A-D4E5-4EFD-B021-D462AEDF9B7B}">
            <x14:dataBar minLength="0" maxLength="100" gradient="0">
              <x14:cfvo type="autoMin"/>
              <x14:cfvo type="autoMax"/>
              <x14:negativeFillColor rgb="FFFF0000"/>
              <x14:axisColor rgb="FF000000"/>
            </x14:dataBar>
          </x14:cfRule>
          <xm:sqref>M2:M4</xm:sqref>
        </x14:conditionalFormatting>
        <x14:conditionalFormatting xmlns:xm="http://schemas.microsoft.com/office/excel/2006/main">
          <x14:cfRule type="dataBar" id="{BA264A60-EB9A-4494-81D6-1E992DC73D41}">
            <x14:dataBar minLength="0" maxLength="100" gradient="0">
              <x14:cfvo type="formula">
                <xm:f>0</xm:f>
              </x14:cfvo>
              <x14:cfvo type="formula">
                <xm:f>1</xm:f>
              </x14:cfvo>
              <x14:negativeFillColor rgb="FFFF0000"/>
              <x14:axisColor rgb="FF000000"/>
            </x14:dataBar>
          </x14:cfRule>
          <xm:sqref>L2</xm:sqref>
        </x14:conditionalFormatting>
        <x14:conditionalFormatting xmlns:xm="http://schemas.microsoft.com/office/excel/2006/main">
          <x14:cfRule type="dataBar" id="{466EF435-21B9-4558-B5F9-EEBD0D9E6050}">
            <x14:dataBar minLength="0" maxLength="100" gradient="0">
              <x14:cfvo type="formula">
                <xm:f>0</xm:f>
              </x14:cfvo>
              <x14:cfvo type="formula">
                <xm:f>1</xm:f>
              </x14:cfvo>
              <x14:negativeFillColor rgb="FFFF0000"/>
              <x14:axisColor rgb="FF000000"/>
            </x14:dataBar>
          </x14:cfRule>
          <xm:sqref>L4</xm:sqref>
        </x14:conditionalFormatting>
        <x14:conditionalFormatting xmlns:xm="http://schemas.microsoft.com/office/excel/2006/main">
          <x14:cfRule type="dataBar" id="{91C0E2D9-1E91-4559-BCCB-564F1304B4BF}">
            <x14:dataBar minLength="0" maxLength="100" gradient="0" direction="leftToRight">
              <x14:cfvo type="formula">
                <xm:f>0</xm:f>
              </x14:cfvo>
              <x14:cfvo type="formula">
                <xm:f>1</xm:f>
              </x14:cfvo>
              <x14:negativeFillColor rgb="FFFF0000"/>
              <x14:axisColor rgb="FF000000"/>
            </x14:dataBar>
          </x14:cfRule>
          <xm:sqref>L18:M27</xm:sqref>
        </x14:conditionalFormatting>
        <x14:conditionalFormatting xmlns:xm="http://schemas.microsoft.com/office/excel/2006/main">
          <x14:cfRule type="dataBar" id="{C4850C44-937C-4D07-AF07-D1B130DEE7C6}">
            <x14:dataBar minLength="0" maxLength="100" gradient="0">
              <x14:cfvo type="formula">
                <xm:f>0</xm:f>
              </x14:cfvo>
              <x14:cfvo type="formula">
                <xm:f>1</xm:f>
              </x14:cfvo>
              <x14:negativeFillColor rgb="FFFF0000"/>
              <x14:axisColor rgb="FF000000"/>
            </x14:dataBar>
          </x14:cfRule>
          <xm:sqref>P19:Q23 Q18</xm:sqref>
        </x14:conditionalFormatting>
        <x14:conditionalFormatting xmlns:xm="http://schemas.microsoft.com/office/excel/2006/main">
          <x14:cfRule type="dataBar" id="{79D08E6C-BB76-44C1-9CD7-7234916A2FFF}">
            <x14:dataBar minLength="0" maxLength="100" gradient="0">
              <x14:cfvo type="formula">
                <xm:f>0</xm:f>
              </x14:cfvo>
              <x14:cfvo type="formula">
                <xm:f>1</xm:f>
              </x14:cfvo>
              <x14:negativeFillColor rgb="FFFF0000"/>
              <x14:axisColor rgb="FF000000"/>
            </x14:dataBar>
          </x14:cfRule>
          <xm:sqref>P18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7"/>
  </sheetPr>
  <dimension ref="A1:V24"/>
  <sheetViews>
    <sheetView topLeftCell="C1" zoomScale="60" zoomScaleNormal="60" workbookViewId="0">
      <selection activeCell="D5" sqref="D5"/>
    </sheetView>
  </sheetViews>
  <sheetFormatPr defaultColWidth="8.7109375" defaultRowHeight="15.75" x14ac:dyDescent="0.25"/>
  <cols>
    <col min="1" max="1" width="30.5703125" style="143" customWidth="1"/>
    <col min="2" max="2" width="54.85546875" style="143" customWidth="1"/>
    <col min="3" max="3" width="44.85546875" style="143" customWidth="1"/>
    <col min="4" max="4" width="109.5703125" style="143" customWidth="1"/>
    <col min="5" max="5" width="44.28515625" style="143" customWidth="1"/>
    <col min="6" max="7" width="20.5703125" style="143" customWidth="1"/>
    <col min="8" max="8" width="24.42578125" style="143" customWidth="1"/>
    <col min="9" max="11" width="20.5703125" style="143" customWidth="1"/>
    <col min="12" max="12" width="23.42578125" style="143" customWidth="1"/>
    <col min="13" max="14" width="20.5703125" style="143" customWidth="1"/>
    <col min="15" max="15" width="25.85546875" style="143" customWidth="1"/>
    <col min="16" max="16" width="1.85546875" style="143" customWidth="1"/>
    <col min="17" max="17" width="3" style="143" customWidth="1"/>
    <col min="18" max="18" width="18.42578125" style="143" customWidth="1"/>
    <col min="19" max="19" width="15.5703125" style="143" customWidth="1"/>
    <col min="20" max="20" width="17.42578125" style="143" customWidth="1"/>
    <col min="21" max="21" width="17.5703125" style="143" customWidth="1"/>
    <col min="22" max="22" width="15.5703125" style="143" customWidth="1"/>
    <col min="23" max="16384" width="8.7109375" style="143"/>
  </cols>
  <sheetData>
    <row r="1" spans="1:22" s="282" customFormat="1" ht="43.5" customHeight="1" x14ac:dyDescent="0.25">
      <c r="A1" s="283" t="s">
        <v>341</v>
      </c>
      <c r="B1" s="281" t="s">
        <v>23</v>
      </c>
      <c r="C1" s="281" t="s">
        <v>2</v>
      </c>
      <c r="D1" s="281" t="s">
        <v>33</v>
      </c>
      <c r="E1" s="281" t="s">
        <v>34</v>
      </c>
      <c r="F1" s="281" t="s">
        <v>35</v>
      </c>
      <c r="G1" s="281" t="s">
        <v>127</v>
      </c>
      <c r="H1" s="281" t="s">
        <v>342</v>
      </c>
      <c r="I1" s="281" t="s">
        <v>24</v>
      </c>
      <c r="J1" s="281" t="s">
        <v>25</v>
      </c>
      <c r="K1" s="281" t="s">
        <v>26</v>
      </c>
      <c r="L1" s="281" t="s">
        <v>223</v>
      </c>
      <c r="M1" s="281" t="s">
        <v>6</v>
      </c>
      <c r="N1" s="281" t="s">
        <v>340</v>
      </c>
      <c r="O1" s="281" t="s">
        <v>220</v>
      </c>
      <c r="P1" s="572"/>
      <c r="Q1" s="573"/>
      <c r="R1" s="281" t="s">
        <v>27</v>
      </c>
      <c r="S1" s="281" t="s">
        <v>28</v>
      </c>
      <c r="T1" s="281" t="s">
        <v>29</v>
      </c>
      <c r="U1" s="281" t="s">
        <v>30</v>
      </c>
      <c r="V1" s="281" t="s">
        <v>31</v>
      </c>
    </row>
    <row r="2" spans="1:22" x14ac:dyDescent="0.25">
      <c r="A2" s="578" t="s">
        <v>202</v>
      </c>
      <c r="B2" s="579"/>
      <c r="C2" s="323"/>
      <c r="D2" s="319"/>
      <c r="E2" s="324"/>
      <c r="F2" s="318"/>
      <c r="G2" s="325"/>
      <c r="H2" s="138"/>
      <c r="I2" s="137"/>
      <c r="J2" s="139"/>
      <c r="K2" s="137"/>
      <c r="L2" s="137"/>
      <c r="M2" s="137"/>
      <c r="N2" s="137"/>
      <c r="O2" s="326"/>
      <c r="P2" s="572"/>
      <c r="Q2" s="573"/>
      <c r="R2" s="54"/>
      <c r="S2" s="54"/>
      <c r="T2" s="54"/>
      <c r="U2" s="54"/>
      <c r="V2" s="54"/>
    </row>
    <row r="3" spans="1:22" ht="18.75" x14ac:dyDescent="0.25">
      <c r="A3" s="578"/>
      <c r="B3" s="579"/>
      <c r="C3" s="323"/>
      <c r="D3" s="319"/>
      <c r="E3" s="318"/>
      <c r="F3" s="318"/>
      <c r="G3" s="327"/>
      <c r="H3" s="138"/>
      <c r="I3" s="137"/>
      <c r="J3" s="139"/>
      <c r="K3" s="137"/>
      <c r="L3" s="137"/>
      <c r="M3" s="137"/>
      <c r="N3" s="326"/>
      <c r="O3" s="326"/>
      <c r="P3" s="572"/>
      <c r="Q3" s="573"/>
      <c r="R3" s="54"/>
      <c r="S3" s="54"/>
      <c r="T3" s="54"/>
      <c r="U3" s="54"/>
      <c r="V3" s="54"/>
    </row>
    <row r="4" spans="1:22" s="136" customFormat="1" ht="55.5" x14ac:dyDescent="0.3">
      <c r="A4" s="284" t="s">
        <v>343</v>
      </c>
      <c r="B4" s="134"/>
      <c r="C4" s="159"/>
      <c r="D4" s="317"/>
      <c r="E4" s="328"/>
      <c r="F4" s="318"/>
      <c r="G4" s="327"/>
      <c r="H4" s="329"/>
      <c r="I4" s="329"/>
      <c r="J4" s="330"/>
      <c r="K4" s="331"/>
      <c r="L4" s="331"/>
      <c r="M4" s="331"/>
      <c r="N4" s="332"/>
      <c r="O4" s="332"/>
      <c r="P4" s="572"/>
      <c r="Q4" s="573"/>
      <c r="R4" s="135"/>
      <c r="S4" s="135"/>
      <c r="T4" s="135"/>
      <c r="U4" s="135"/>
      <c r="V4" s="135"/>
    </row>
    <row r="5" spans="1:22" ht="18.75" x14ac:dyDescent="0.25">
      <c r="A5" s="284"/>
      <c r="B5" s="53"/>
      <c r="C5" s="159"/>
      <c r="D5" s="319"/>
      <c r="E5" s="318"/>
      <c r="F5" s="318"/>
      <c r="G5" s="327"/>
      <c r="H5" s="138"/>
      <c r="I5" s="137"/>
      <c r="J5" s="139"/>
      <c r="K5" s="137"/>
      <c r="L5" s="137"/>
      <c r="M5" s="137"/>
      <c r="N5" s="326"/>
      <c r="O5" s="326"/>
      <c r="P5" s="572"/>
      <c r="Q5" s="573"/>
      <c r="R5" s="54"/>
      <c r="S5" s="54"/>
      <c r="T5" s="135"/>
      <c r="U5" s="135"/>
      <c r="V5" s="54"/>
    </row>
    <row r="6" spans="1:22" ht="18.75" x14ac:dyDescent="0.25">
      <c r="A6" s="284"/>
      <c r="B6" s="53"/>
      <c r="C6" s="159"/>
      <c r="D6" s="319"/>
      <c r="E6" s="318"/>
      <c r="F6" s="318"/>
      <c r="G6" s="327"/>
      <c r="H6" s="138"/>
      <c r="I6" s="137"/>
      <c r="J6" s="333"/>
      <c r="K6" s="137"/>
      <c r="L6" s="334"/>
      <c r="M6" s="137"/>
      <c r="N6" s="326"/>
      <c r="O6" s="326"/>
      <c r="P6" s="572"/>
      <c r="Q6" s="573"/>
      <c r="R6" s="54"/>
      <c r="S6" s="54"/>
      <c r="T6" s="135"/>
      <c r="U6" s="135"/>
      <c r="V6" s="54"/>
    </row>
    <row r="7" spans="1:22" ht="18.75" x14ac:dyDescent="0.25">
      <c r="A7" s="284"/>
      <c r="B7" s="577"/>
      <c r="C7" s="159"/>
      <c r="D7" s="319"/>
      <c r="E7" s="318"/>
      <c r="F7" s="318"/>
      <c r="G7" s="327"/>
      <c r="H7" s="138"/>
      <c r="I7" s="137"/>
      <c r="J7" s="335"/>
      <c r="K7" s="137"/>
      <c r="L7" s="137"/>
      <c r="M7" s="137"/>
      <c r="N7" s="326"/>
      <c r="O7" s="326"/>
      <c r="P7" s="572"/>
      <c r="Q7" s="573"/>
      <c r="R7" s="54"/>
      <c r="S7" s="54"/>
      <c r="T7" s="135"/>
      <c r="U7" s="135"/>
      <c r="V7" s="54"/>
    </row>
    <row r="8" spans="1:22" ht="18.75" x14ac:dyDescent="0.25">
      <c r="A8" s="284"/>
      <c r="B8" s="577"/>
      <c r="C8" s="159"/>
      <c r="D8" s="319"/>
      <c r="E8" s="318"/>
      <c r="F8" s="318"/>
      <c r="G8" s="327"/>
      <c r="H8" s="138"/>
      <c r="I8" s="137"/>
      <c r="J8" s="335"/>
      <c r="K8" s="137"/>
      <c r="L8" s="137"/>
      <c r="M8" s="137"/>
      <c r="N8" s="326"/>
      <c r="O8" s="326"/>
      <c r="P8" s="572"/>
      <c r="Q8" s="573"/>
      <c r="R8" s="54"/>
      <c r="S8" s="54"/>
      <c r="T8" s="135"/>
      <c r="U8" s="135"/>
      <c r="V8" s="54"/>
    </row>
    <row r="9" spans="1:22" ht="18.75" x14ac:dyDescent="0.25">
      <c r="A9" s="284"/>
      <c r="B9" s="577"/>
      <c r="C9" s="159"/>
      <c r="D9" s="319"/>
      <c r="E9" s="318"/>
      <c r="F9" s="318"/>
      <c r="G9" s="327"/>
      <c r="H9" s="138"/>
      <c r="I9" s="137"/>
      <c r="J9" s="333"/>
      <c r="K9" s="137"/>
      <c r="L9" s="333"/>
      <c r="M9" s="137"/>
      <c r="N9" s="326"/>
      <c r="O9" s="326"/>
      <c r="P9" s="572"/>
      <c r="Q9" s="573"/>
      <c r="R9" s="54"/>
      <c r="S9" s="54"/>
      <c r="T9" s="135"/>
      <c r="U9" s="135"/>
      <c r="V9" s="54"/>
    </row>
    <row r="10" spans="1:22" ht="18.75" x14ac:dyDescent="0.25">
      <c r="A10" s="284"/>
      <c r="B10" s="577"/>
      <c r="C10" s="159"/>
      <c r="D10" s="319"/>
      <c r="E10" s="318"/>
      <c r="F10" s="318"/>
      <c r="G10" s="327"/>
      <c r="H10" s="138"/>
      <c r="I10" s="137"/>
      <c r="J10" s="333"/>
      <c r="K10" s="137"/>
      <c r="L10" s="333"/>
      <c r="M10" s="137"/>
      <c r="N10" s="326"/>
      <c r="O10" s="326"/>
      <c r="P10" s="572"/>
      <c r="Q10" s="573"/>
      <c r="R10" s="54"/>
      <c r="S10" s="54"/>
      <c r="T10" s="135"/>
      <c r="U10" s="135"/>
      <c r="V10" s="54"/>
    </row>
    <row r="11" spans="1:22" x14ac:dyDescent="0.25">
      <c r="A11" s="284"/>
      <c r="B11" s="55"/>
      <c r="C11" s="320"/>
      <c r="D11" s="320"/>
      <c r="E11" s="320"/>
      <c r="F11" s="320"/>
      <c r="G11" s="320"/>
      <c r="H11" s="320"/>
      <c r="I11" s="320"/>
      <c r="J11" s="320"/>
      <c r="K11" s="320"/>
      <c r="L11" s="321"/>
      <c r="M11" s="321"/>
      <c r="N11" s="321"/>
      <c r="O11" s="321"/>
      <c r="P11" s="572"/>
      <c r="Q11" s="573"/>
      <c r="R11" s="54"/>
      <c r="S11" s="54"/>
      <c r="T11" s="56"/>
      <c r="U11" s="54"/>
      <c r="V11" s="54"/>
    </row>
    <row r="12" spans="1:22" ht="18.75" x14ac:dyDescent="0.25">
      <c r="A12" s="576" t="s">
        <v>32</v>
      </c>
      <c r="B12" s="55"/>
      <c r="C12" s="159"/>
      <c r="D12" s="319"/>
      <c r="E12" s="322"/>
      <c r="F12" s="318"/>
      <c r="G12" s="336"/>
      <c r="H12" s="137"/>
      <c r="I12" s="137"/>
      <c r="J12" s="137"/>
      <c r="K12" s="137"/>
      <c r="L12" s="137"/>
      <c r="M12" s="137"/>
      <c r="N12" s="326"/>
      <c r="O12" s="326"/>
      <c r="P12" s="572"/>
      <c r="Q12" s="573"/>
      <c r="R12" s="54"/>
      <c r="S12" s="54"/>
      <c r="T12" s="56"/>
      <c r="U12" s="54"/>
      <c r="V12" s="54"/>
    </row>
    <row r="13" spans="1:22" ht="18.75" x14ac:dyDescent="0.25">
      <c r="A13" s="576"/>
      <c r="B13" s="55"/>
      <c r="C13" s="159"/>
      <c r="D13" s="319"/>
      <c r="E13" s="322"/>
      <c r="F13" s="318"/>
      <c r="G13" s="327"/>
      <c r="H13" s="137"/>
      <c r="I13" s="137"/>
      <c r="J13" s="137"/>
      <c r="K13" s="137"/>
      <c r="L13" s="137"/>
      <c r="M13" s="137"/>
      <c r="N13" s="326"/>
      <c r="O13" s="326"/>
      <c r="P13" s="572"/>
      <c r="Q13" s="573"/>
      <c r="R13" s="54"/>
      <c r="S13" s="54"/>
      <c r="T13" s="56"/>
      <c r="U13" s="54"/>
      <c r="V13" s="54"/>
    </row>
    <row r="14" spans="1:22" ht="18.75" x14ac:dyDescent="0.25">
      <c r="A14" s="576"/>
      <c r="B14" s="55"/>
      <c r="C14" s="159"/>
      <c r="D14" s="319"/>
      <c r="E14" s="322"/>
      <c r="F14" s="318"/>
      <c r="G14" s="327"/>
      <c r="H14" s="137"/>
      <c r="I14" s="137"/>
      <c r="J14" s="151"/>
      <c r="K14" s="137"/>
      <c r="L14" s="137"/>
      <c r="M14" s="137"/>
      <c r="N14" s="326"/>
      <c r="O14" s="326"/>
      <c r="P14" s="572"/>
      <c r="Q14" s="573"/>
      <c r="R14" s="54"/>
      <c r="S14" s="54"/>
      <c r="T14" s="56"/>
      <c r="U14" s="54"/>
      <c r="V14" s="54"/>
    </row>
    <row r="15" spans="1:22" ht="18.75" x14ac:dyDescent="0.25">
      <c r="A15" s="576"/>
      <c r="B15" s="55"/>
      <c r="C15" s="337"/>
      <c r="D15" s="319"/>
      <c r="E15" s="318"/>
      <c r="F15" s="318"/>
      <c r="G15" s="327"/>
      <c r="H15" s="138"/>
      <c r="I15" s="137"/>
      <c r="J15" s="151"/>
      <c r="K15" s="318"/>
      <c r="L15" s="137"/>
      <c r="M15" s="137"/>
      <c r="N15" s="326"/>
      <c r="O15" s="338"/>
      <c r="P15" s="572"/>
      <c r="Q15" s="573"/>
      <c r="R15" s="54"/>
      <c r="S15" s="54"/>
      <c r="T15" s="56"/>
      <c r="U15" s="54"/>
      <c r="V15" s="54"/>
    </row>
    <row r="16" spans="1:22" ht="18.75" x14ac:dyDescent="0.25">
      <c r="A16" s="576"/>
      <c r="B16" s="55"/>
      <c r="C16" s="159"/>
      <c r="D16" s="339"/>
      <c r="E16" s="318"/>
      <c r="F16" s="318"/>
      <c r="G16" s="327"/>
      <c r="H16" s="138"/>
      <c r="I16" s="138"/>
      <c r="J16" s="151"/>
      <c r="K16" s="334"/>
      <c r="L16" s="137"/>
      <c r="M16" s="137"/>
      <c r="N16" s="334"/>
      <c r="O16" s="334"/>
      <c r="P16" s="572"/>
      <c r="Q16" s="573"/>
      <c r="R16" s="54"/>
      <c r="S16" s="54"/>
      <c r="T16" s="56"/>
      <c r="U16" s="54"/>
      <c r="V16" s="54"/>
    </row>
    <row r="17" spans="1:22" ht="18.75" x14ac:dyDescent="0.25">
      <c r="A17" s="576"/>
      <c r="B17" s="55"/>
      <c r="C17" s="159"/>
      <c r="D17" s="319"/>
      <c r="E17" s="318"/>
      <c r="F17" s="318"/>
      <c r="G17" s="327"/>
      <c r="H17" s="138"/>
      <c r="I17" s="138"/>
      <c r="J17" s="151"/>
      <c r="K17" s="334"/>
      <c r="L17" s="137"/>
      <c r="M17" s="137"/>
      <c r="N17" s="334"/>
      <c r="O17" s="334"/>
      <c r="P17" s="572"/>
      <c r="Q17" s="573"/>
      <c r="R17" s="54"/>
      <c r="S17" s="54"/>
      <c r="T17" s="56"/>
      <c r="U17" s="54"/>
      <c r="V17" s="54"/>
    </row>
    <row r="18" spans="1:22" ht="18.75" x14ac:dyDescent="0.25">
      <c r="A18" s="576"/>
      <c r="B18" s="55"/>
      <c r="C18" s="159"/>
      <c r="D18" s="319"/>
      <c r="E18" s="318"/>
      <c r="F18" s="318"/>
      <c r="G18" s="327"/>
      <c r="H18" s="138"/>
      <c r="I18" s="138"/>
      <c r="J18" s="151"/>
      <c r="K18" s="334"/>
      <c r="L18" s="137"/>
      <c r="M18" s="137"/>
      <c r="N18" s="334"/>
      <c r="O18" s="322"/>
      <c r="P18" s="572"/>
      <c r="Q18" s="573"/>
      <c r="R18" s="54"/>
      <c r="S18" s="54"/>
      <c r="T18" s="56"/>
      <c r="U18" s="54"/>
      <c r="V18" s="54"/>
    </row>
    <row r="19" spans="1:22" ht="18.75" x14ac:dyDescent="0.25">
      <c r="A19" s="576"/>
      <c r="B19" s="55"/>
      <c r="C19" s="159"/>
      <c r="D19" s="319"/>
      <c r="E19" s="318"/>
      <c r="F19" s="318"/>
      <c r="G19" s="327"/>
      <c r="H19" s="138"/>
      <c r="I19" s="138"/>
      <c r="J19" s="151"/>
      <c r="K19" s="137"/>
      <c r="L19" s="137"/>
      <c r="M19" s="334"/>
      <c r="N19" s="334"/>
      <c r="O19" s="334"/>
      <c r="P19" s="572"/>
      <c r="Q19" s="573"/>
      <c r="R19" s="54"/>
      <c r="S19" s="54"/>
      <c r="T19" s="56"/>
      <c r="U19" s="54"/>
      <c r="V19" s="54"/>
    </row>
    <row r="20" spans="1:22" ht="18.75" x14ac:dyDescent="0.25">
      <c r="A20" s="576"/>
      <c r="B20" s="55"/>
      <c r="C20" s="159"/>
      <c r="D20" s="319"/>
      <c r="E20" s="318"/>
      <c r="F20" s="318"/>
      <c r="G20" s="327"/>
      <c r="H20" s="138"/>
      <c r="I20" s="138"/>
      <c r="J20" s="151"/>
      <c r="K20" s="137"/>
      <c r="L20" s="137"/>
      <c r="M20" s="334"/>
      <c r="N20" s="334"/>
      <c r="O20" s="334"/>
      <c r="P20" s="572"/>
      <c r="Q20" s="573"/>
      <c r="R20" s="54"/>
      <c r="S20" s="54"/>
      <c r="T20" s="56"/>
      <c r="U20" s="54"/>
      <c r="V20" s="54"/>
    </row>
    <row r="21" spans="1:22" ht="18.75" x14ac:dyDescent="0.25">
      <c r="A21" s="576"/>
      <c r="B21" s="55"/>
      <c r="C21" s="159"/>
      <c r="D21" s="319"/>
      <c r="E21" s="318"/>
      <c r="F21" s="318"/>
      <c r="G21" s="327"/>
      <c r="H21" s="197"/>
      <c r="I21" s="138"/>
      <c r="J21" s="151"/>
      <c r="K21" s="338"/>
      <c r="L21" s="137"/>
      <c r="M21" s="334"/>
      <c r="N21" s="334"/>
      <c r="O21" s="322"/>
      <c r="P21" s="572"/>
      <c r="Q21" s="573"/>
      <c r="R21" s="54"/>
      <c r="S21" s="54"/>
      <c r="T21" s="56"/>
      <c r="U21" s="54"/>
      <c r="V21" s="54"/>
    </row>
    <row r="22" spans="1:22" ht="18.75" x14ac:dyDescent="0.25">
      <c r="A22" s="576"/>
      <c r="B22" s="55"/>
      <c r="C22" s="159"/>
      <c r="D22" s="319"/>
      <c r="E22" s="318"/>
      <c r="F22" s="318"/>
      <c r="G22" s="327"/>
      <c r="H22" s="197"/>
      <c r="I22" s="138"/>
      <c r="J22" s="151"/>
      <c r="K22" s="338"/>
      <c r="L22" s="137"/>
      <c r="M22" s="334"/>
      <c r="N22" s="334"/>
      <c r="O22" s="322"/>
      <c r="P22" s="572"/>
      <c r="Q22" s="573"/>
      <c r="R22" s="54"/>
      <c r="S22" s="54"/>
      <c r="T22" s="56"/>
      <c r="U22" s="54"/>
      <c r="V22" s="54"/>
    </row>
    <row r="23" spans="1:22" ht="18.75" x14ac:dyDescent="0.25">
      <c r="A23" s="576"/>
      <c r="B23" s="55"/>
      <c r="C23" s="159"/>
      <c r="D23" s="319"/>
      <c r="E23" s="318"/>
      <c r="F23" s="318"/>
      <c r="G23" s="327"/>
      <c r="H23" s="197"/>
      <c r="I23" s="138"/>
      <c r="J23" s="151"/>
      <c r="K23" s="322"/>
      <c r="L23" s="137"/>
      <c r="M23" s="334"/>
      <c r="N23" s="334"/>
      <c r="O23" s="322"/>
      <c r="P23" s="572"/>
      <c r="Q23" s="573"/>
      <c r="R23" s="54"/>
      <c r="S23" s="54"/>
      <c r="T23" s="56"/>
      <c r="U23" s="54"/>
      <c r="V23" s="54"/>
    </row>
    <row r="24" spans="1:22" ht="18.75" x14ac:dyDescent="0.25">
      <c r="A24" s="576"/>
      <c r="B24" s="55"/>
      <c r="C24" s="159"/>
      <c r="D24" s="319"/>
      <c r="E24" s="318"/>
      <c r="F24" s="318"/>
      <c r="G24" s="327"/>
      <c r="H24" s="197"/>
      <c r="I24" s="138"/>
      <c r="J24" s="151"/>
      <c r="K24" s="322"/>
      <c r="L24" s="137"/>
      <c r="M24" s="334"/>
      <c r="N24" s="334"/>
      <c r="O24" s="322"/>
      <c r="P24" s="574"/>
      <c r="Q24" s="575"/>
      <c r="R24" s="54"/>
      <c r="S24" s="54"/>
      <c r="T24" s="56"/>
      <c r="U24" s="54"/>
      <c r="V24" s="54"/>
    </row>
  </sheetData>
  <mergeCells count="5">
    <mergeCell ref="P1:Q24"/>
    <mergeCell ref="A12:A24"/>
    <mergeCell ref="B7:B10"/>
    <mergeCell ref="A2:A3"/>
    <mergeCell ref="B2:B3"/>
  </mergeCells>
  <dataValidations count="15">
    <dataValidation allowBlank="1" showInputMessage="1" showErrorMessage="1" prompt=" List LF indicators here " sqref="C1" xr:uid="{126881B9-75DB-48FF-B2BF-CB429950BD7A}"/>
    <dataValidation allowBlank="1" showInputMessage="1" showErrorMessage="1" prompt="Target group (gender/age/PWDs) description?_x000a_Describe general or vague terms i.e access and wellbeing_x000a_Explain any conditions for counting _x000a_i.e participants should at least attend 5 classes_x000a_" sqref="D1" xr:uid="{111548CB-74DC-4582-827D-06FEC99E84F0}"/>
    <dataValidation allowBlank="1" showInputMessage="1" showErrorMessage="1" prompt="How the equestions which measure the indicator will be weighted and averaged to produce the final result ? What are the denominator and the Numerator?" sqref="E1" xr:uid="{E69A0EC4-30FC-472E-95E9-F230203EEBD7}"/>
    <dataValidation allowBlank="1" showInputMessage="1" showErrorMessage="1" prompt="What type of information you normally collect about beneficiaries beeficiting from the project? (i.e. Gender, location ,school …etc)?" sqref="F1" xr:uid="{4A7095E0-6237-4FBB-957C-EDE8D123D0DD}"/>
    <dataValidation allowBlank="1" showInputMessage="1" showErrorMessage="1" prompt="This column can be used to  inform whether a baseline is needed and, if yes, are there specific requirements i.e child protection training for data collectors  " sqref="G1" xr:uid="{6B947622-0B4C-419E-BD57-5ED61DE44AA0}"/>
    <dataValidation allowBlank="1" showInputMessage="1" showErrorMessage="1" prompt="Enter here when the data will be collected during the project life, how many times?" sqref="H1" xr:uid="{B23731E8-B7CC-47B8-BB3D-70A32D820171}"/>
    <dataValidation allowBlank="1" showInputMessage="1" showErrorMessage="1" prompt="enter expexted reporting times, how many reports will be prodcued or how many times the findings will be reported?" sqref="I1" xr:uid="{7E6A88C2-1804-44E2-BBAB-9566EBB417A8}"/>
    <dataValidation allowBlank="1" showInputMessage="1" showErrorMessage="1" prompt="List all the tools that will be used to collect this information i.e baseline survey, Final evaluation report, attendance sheet, registration records,...etc" sqref="J1" xr:uid="{C1CD010A-B1D1-45BE-A29D-F8D618871DF3}"/>
    <dataValidation allowBlank="1" showInputMessage="1" showErrorMessage="1" prompt="who is the primary source of Data is it children, parents, teachers?" sqref="K1" xr:uid="{E2574B4D-8C4F-4CF0-840C-406E6A3E1B87}"/>
    <dataValidation allowBlank="1" showInputMessage="1" showErrorMessage="1" prompt="type of data will be collected Quantiative, qualitative or both?" sqref="L1" xr:uid="{AF3A23FC-582D-4BF9-81F8-17A55E383133}"/>
    <dataValidation allowBlank="1" showInputMessage="1" showErrorMessage="1" prompt="type of sampling approach decided is it statistical scientific sampling, is it census, is it purposive sampling, snowball,...etc" sqref="M1" xr:uid="{4D2DCDAC-75C4-49E1-8E51-BAB13418A6FE}"/>
    <dataValidation allowBlank="1" showInputMessage="1" showErrorMessage="1" prompt="what is the softwar or system will be used to measure the indicator and obtain analysis i.e SPSS, power bi, excel,..ect?" sqref="N1" xr:uid="{8DDB0460-0343-459B-9B35-0B697932F0F1}"/>
    <dataValidation allowBlank="1" showInputMessage="1" showErrorMessage="1" prompt="any specific leassons learned during profile development, defining indicator, any considerations should have been taken?" sqref="O1" xr:uid="{C236D67F-8505-464C-AED2-2CFC85F5DEA6}"/>
    <dataValidation allowBlank="1" showInputMessage="1" showErrorMessage="1" prompt="who is responsible for data collection i.e MEAL or program or external party?" sqref="R1" xr:uid="{EE27244A-D0D1-4BBB-8E06-C51BF5B23209}"/>
    <dataValidation allowBlank="1" showInputMessage="1" showErrorMessage="1" prompt="Finalization of this profile is responsibility of MEAL staff, with very crucial input from program in the definitions as well as understanding of calculations and measurment " sqref="A1" xr:uid="{F574754B-FE04-4A2B-BD03-A2839F68188A}"/>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8"/>
  </sheetPr>
  <dimension ref="A1:BQ118"/>
  <sheetViews>
    <sheetView zoomScale="70" zoomScaleNormal="70" workbookViewId="0">
      <pane xSplit="7" ySplit="4" topLeftCell="H5" activePane="bottomRight" state="frozen"/>
      <selection pane="topRight" activeCell="H1" sqref="H1"/>
      <selection pane="bottomLeft" activeCell="A5" sqref="A5"/>
      <selection pane="bottomRight" activeCell="H6" sqref="H6"/>
    </sheetView>
  </sheetViews>
  <sheetFormatPr defaultColWidth="8.7109375" defaultRowHeight="15.75" x14ac:dyDescent="0.25"/>
  <cols>
    <col min="1" max="1" width="28.28515625" customWidth="1"/>
    <col min="2" max="2" width="41" style="59" customWidth="1"/>
    <col min="3" max="3" width="11.28515625" style="143" customWidth="1"/>
    <col min="4" max="4" width="9.42578125" style="143" customWidth="1"/>
    <col min="5" max="5" width="62.5703125" style="203" customWidth="1"/>
    <col min="6" max="6" width="18.5703125" style="143" customWidth="1"/>
    <col min="7" max="7" width="15.5703125" style="70" customWidth="1"/>
    <col min="8" max="39" width="4.5703125" style="143" customWidth="1"/>
    <col min="40" max="55" width="5.5703125" style="143" customWidth="1"/>
    <col min="56" max="56" width="9.85546875" style="143" customWidth="1"/>
    <col min="57" max="57" width="10.5703125" style="143" customWidth="1"/>
    <col min="58" max="69" width="20.5703125" style="143" customWidth="1"/>
  </cols>
  <sheetData>
    <row r="1" spans="1:69" ht="23.25" x14ac:dyDescent="0.25">
      <c r="A1" s="625" t="s">
        <v>224</v>
      </c>
      <c r="B1" s="625"/>
      <c r="C1" s="625"/>
      <c r="D1" s="625"/>
      <c r="E1" s="625"/>
      <c r="F1" s="625"/>
      <c r="G1" s="626"/>
      <c r="H1" s="616" t="s">
        <v>267</v>
      </c>
      <c r="I1" s="616"/>
      <c r="J1" s="616"/>
      <c r="K1" s="616"/>
      <c r="L1" s="616"/>
      <c r="M1" s="616"/>
      <c r="N1" s="616"/>
      <c r="O1" s="616"/>
      <c r="P1" s="616"/>
      <c r="Q1" s="616"/>
      <c r="R1" s="616"/>
      <c r="S1" s="616"/>
      <c r="T1" s="616"/>
      <c r="U1" s="616"/>
      <c r="V1" s="616"/>
      <c r="W1" s="616"/>
      <c r="X1" s="616"/>
      <c r="Y1" s="616"/>
      <c r="Z1" s="616"/>
      <c r="AA1" s="616"/>
      <c r="AB1" s="616"/>
      <c r="AC1" s="616"/>
      <c r="AD1" s="616"/>
      <c r="AE1" s="616"/>
      <c r="AF1" s="616"/>
      <c r="AG1" s="616"/>
      <c r="AH1" s="616"/>
      <c r="AI1" s="616"/>
      <c r="AJ1" s="616"/>
      <c r="AK1" s="616"/>
      <c r="AL1" s="616"/>
      <c r="AM1" s="616"/>
      <c r="AN1" s="616"/>
      <c r="AO1" s="616"/>
      <c r="AP1" s="616"/>
      <c r="AQ1" s="616"/>
      <c r="AR1" s="616"/>
      <c r="AS1" s="616"/>
      <c r="AT1" s="616"/>
      <c r="AU1" s="616"/>
      <c r="AV1" s="616"/>
      <c r="AW1" s="616"/>
      <c r="AX1" s="616"/>
      <c r="AY1" s="616"/>
      <c r="AZ1" s="616"/>
      <c r="BA1" s="616"/>
      <c r="BB1" s="616"/>
      <c r="BC1" s="616"/>
      <c r="BD1" s="202"/>
    </row>
    <row r="2" spans="1:69" ht="15" customHeight="1" x14ac:dyDescent="0.25">
      <c r="A2" s="640" t="s">
        <v>265</v>
      </c>
      <c r="B2" s="634" t="s">
        <v>59</v>
      </c>
      <c r="C2" s="633" t="s">
        <v>5</v>
      </c>
      <c r="D2" s="634"/>
      <c r="E2" s="642" t="s">
        <v>225</v>
      </c>
      <c r="F2" s="637" t="s">
        <v>13</v>
      </c>
      <c r="G2" s="611" t="s">
        <v>76</v>
      </c>
      <c r="H2" s="618">
        <v>43922</v>
      </c>
      <c r="I2" s="618"/>
      <c r="J2" s="618"/>
      <c r="K2" s="618"/>
      <c r="L2" s="618">
        <v>43952</v>
      </c>
      <c r="M2" s="618"/>
      <c r="N2" s="618"/>
      <c r="O2" s="618"/>
      <c r="P2" s="618">
        <v>43983</v>
      </c>
      <c r="Q2" s="618"/>
      <c r="R2" s="618"/>
      <c r="S2" s="618"/>
      <c r="T2" s="618">
        <v>44013</v>
      </c>
      <c r="U2" s="618"/>
      <c r="V2" s="618"/>
      <c r="W2" s="618"/>
      <c r="X2" s="618">
        <v>44044</v>
      </c>
      <c r="Y2" s="618"/>
      <c r="Z2" s="618"/>
      <c r="AA2" s="618"/>
      <c r="AB2" s="618">
        <v>44075</v>
      </c>
      <c r="AC2" s="618"/>
      <c r="AD2" s="618"/>
      <c r="AE2" s="618"/>
      <c r="AF2" s="618">
        <v>44105</v>
      </c>
      <c r="AG2" s="618"/>
      <c r="AH2" s="618"/>
      <c r="AI2" s="618"/>
      <c r="AJ2" s="618">
        <v>44136</v>
      </c>
      <c r="AK2" s="618"/>
      <c r="AL2" s="618"/>
      <c r="AM2" s="618"/>
      <c r="AN2" s="618">
        <v>44166</v>
      </c>
      <c r="AO2" s="618"/>
      <c r="AP2" s="618"/>
      <c r="AQ2" s="618"/>
      <c r="AR2" s="618">
        <v>44197</v>
      </c>
      <c r="AS2" s="618"/>
      <c r="AT2" s="618"/>
      <c r="AU2" s="618"/>
      <c r="AV2" s="618">
        <v>44228</v>
      </c>
      <c r="AW2" s="618"/>
      <c r="AX2" s="618"/>
      <c r="AY2" s="618"/>
      <c r="AZ2" s="618">
        <v>44256</v>
      </c>
      <c r="BA2" s="618"/>
      <c r="BB2" s="618"/>
      <c r="BC2" s="618"/>
      <c r="BD2" s="629" t="s">
        <v>275</v>
      </c>
      <c r="BE2" s="632" t="s">
        <v>78</v>
      </c>
      <c r="BF2" s="194">
        <v>43925</v>
      </c>
      <c r="BG2" s="194">
        <v>43955</v>
      </c>
      <c r="BH2" s="194">
        <v>43986</v>
      </c>
      <c r="BI2" s="194">
        <v>44016</v>
      </c>
      <c r="BJ2" s="194">
        <v>44047</v>
      </c>
      <c r="BK2" s="194">
        <v>44078</v>
      </c>
      <c r="BL2" s="194">
        <v>44108</v>
      </c>
      <c r="BM2" s="194">
        <v>44139</v>
      </c>
      <c r="BN2" s="194">
        <v>44169</v>
      </c>
      <c r="BO2" s="194">
        <v>44200</v>
      </c>
      <c r="BP2" s="194">
        <v>44231</v>
      </c>
      <c r="BQ2" s="194">
        <v>44259</v>
      </c>
    </row>
    <row r="3" spans="1:69" ht="15" customHeight="1" x14ac:dyDescent="0.25">
      <c r="A3" s="640"/>
      <c r="B3" s="636"/>
      <c r="C3" s="635"/>
      <c r="D3" s="636"/>
      <c r="E3" s="643"/>
      <c r="F3" s="638"/>
      <c r="G3" s="611"/>
      <c r="H3" s="195" t="s">
        <v>72</v>
      </c>
      <c r="I3" s="195" t="s">
        <v>73</v>
      </c>
      <c r="J3" s="195" t="s">
        <v>74</v>
      </c>
      <c r="K3" s="195" t="s">
        <v>75</v>
      </c>
      <c r="L3" s="195" t="s">
        <v>72</v>
      </c>
      <c r="M3" s="195" t="s">
        <v>73</v>
      </c>
      <c r="N3" s="195" t="s">
        <v>74</v>
      </c>
      <c r="O3" s="195" t="s">
        <v>75</v>
      </c>
      <c r="P3" s="195" t="s">
        <v>72</v>
      </c>
      <c r="Q3" s="195" t="s">
        <v>73</v>
      </c>
      <c r="R3" s="195" t="s">
        <v>74</v>
      </c>
      <c r="S3" s="195" t="s">
        <v>75</v>
      </c>
      <c r="T3" s="195" t="s">
        <v>72</v>
      </c>
      <c r="U3" s="195" t="s">
        <v>73</v>
      </c>
      <c r="V3" s="195" t="s">
        <v>74</v>
      </c>
      <c r="W3" s="195" t="s">
        <v>75</v>
      </c>
      <c r="X3" s="195" t="s">
        <v>72</v>
      </c>
      <c r="Y3" s="195" t="s">
        <v>73</v>
      </c>
      <c r="Z3" s="195" t="s">
        <v>74</v>
      </c>
      <c r="AA3" s="195" t="s">
        <v>75</v>
      </c>
      <c r="AB3" s="195" t="s">
        <v>72</v>
      </c>
      <c r="AC3" s="195" t="s">
        <v>73</v>
      </c>
      <c r="AD3" s="195" t="s">
        <v>74</v>
      </c>
      <c r="AE3" s="195" t="s">
        <v>75</v>
      </c>
      <c r="AF3" s="195" t="s">
        <v>72</v>
      </c>
      <c r="AG3" s="195" t="s">
        <v>73</v>
      </c>
      <c r="AH3" s="195" t="s">
        <v>74</v>
      </c>
      <c r="AI3" s="195" t="s">
        <v>75</v>
      </c>
      <c r="AJ3" s="195" t="s">
        <v>72</v>
      </c>
      <c r="AK3" s="195" t="s">
        <v>73</v>
      </c>
      <c r="AL3" s="195" t="s">
        <v>74</v>
      </c>
      <c r="AM3" s="195" t="s">
        <v>75</v>
      </c>
      <c r="AN3" s="195" t="s">
        <v>72</v>
      </c>
      <c r="AO3" s="195" t="s">
        <v>73</v>
      </c>
      <c r="AP3" s="195" t="s">
        <v>74</v>
      </c>
      <c r="AQ3" s="195" t="s">
        <v>75</v>
      </c>
      <c r="AR3" s="195" t="s">
        <v>72</v>
      </c>
      <c r="AS3" s="195" t="s">
        <v>73</v>
      </c>
      <c r="AT3" s="195" t="s">
        <v>74</v>
      </c>
      <c r="AU3" s="195" t="s">
        <v>75</v>
      </c>
      <c r="AV3" s="195" t="s">
        <v>72</v>
      </c>
      <c r="AW3" s="195" t="s">
        <v>73</v>
      </c>
      <c r="AX3" s="195" t="s">
        <v>74</v>
      </c>
      <c r="AY3" s="195" t="s">
        <v>75</v>
      </c>
      <c r="AZ3" s="195" t="s">
        <v>72</v>
      </c>
      <c r="BA3" s="195" t="s">
        <v>73</v>
      </c>
      <c r="BB3" s="195" t="s">
        <v>74</v>
      </c>
      <c r="BC3" s="195" t="s">
        <v>75</v>
      </c>
      <c r="BD3" s="630"/>
      <c r="BE3" s="632"/>
      <c r="BF3" s="627" t="s">
        <v>77</v>
      </c>
      <c r="BG3" s="627" t="s">
        <v>77</v>
      </c>
      <c r="BH3" s="627" t="s">
        <v>77</v>
      </c>
      <c r="BI3" s="627" t="s">
        <v>77</v>
      </c>
      <c r="BJ3" s="627" t="s">
        <v>77</v>
      </c>
      <c r="BK3" s="627" t="s">
        <v>77</v>
      </c>
      <c r="BL3" s="627" t="s">
        <v>77</v>
      </c>
      <c r="BM3" s="627" t="s">
        <v>77</v>
      </c>
      <c r="BN3" s="627" t="s">
        <v>77</v>
      </c>
      <c r="BO3" s="627" t="s">
        <v>77</v>
      </c>
      <c r="BP3" s="627" t="s">
        <v>77</v>
      </c>
      <c r="BQ3" s="627" t="s">
        <v>77</v>
      </c>
    </row>
    <row r="4" spans="1:69" ht="15" customHeight="1" x14ac:dyDescent="0.25">
      <c r="A4" s="640"/>
      <c r="B4" s="641"/>
      <c r="C4" s="197" t="s">
        <v>264</v>
      </c>
      <c r="D4" s="197" t="s">
        <v>263</v>
      </c>
      <c r="E4" s="644"/>
      <c r="F4" s="639"/>
      <c r="G4" s="611"/>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5"/>
      <c r="AT4" s="195"/>
      <c r="AU4" s="195"/>
      <c r="AV4" s="195"/>
      <c r="AW4" s="195"/>
      <c r="AX4" s="195"/>
      <c r="AY4" s="195"/>
      <c r="AZ4" s="195"/>
      <c r="BA4" s="195"/>
      <c r="BB4" s="195"/>
      <c r="BC4" s="195"/>
      <c r="BD4" s="631"/>
      <c r="BE4" s="632"/>
      <c r="BF4" s="628"/>
      <c r="BG4" s="628"/>
      <c r="BH4" s="628"/>
      <c r="BI4" s="628"/>
      <c r="BJ4" s="628"/>
      <c r="BK4" s="628"/>
      <c r="BL4" s="628"/>
      <c r="BM4" s="628"/>
      <c r="BN4" s="628"/>
      <c r="BO4" s="628"/>
      <c r="BP4" s="628"/>
      <c r="BQ4" s="628"/>
    </row>
    <row r="5" spans="1:69" ht="15.75" customHeight="1" x14ac:dyDescent="0.25">
      <c r="A5" s="619"/>
      <c r="B5" s="598"/>
      <c r="C5" s="594"/>
      <c r="D5" s="594"/>
      <c r="E5" s="609"/>
      <c r="F5" s="190" t="s">
        <v>12</v>
      </c>
      <c r="G5" s="617"/>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v>1</v>
      </c>
      <c r="BD5" s="196">
        <f>SUM(H5:BC5)</f>
        <v>1</v>
      </c>
      <c r="BE5" s="596">
        <f>BD6/BD5</f>
        <v>0</v>
      </c>
      <c r="BF5" s="146"/>
      <c r="BG5" s="146"/>
      <c r="BH5" s="146"/>
      <c r="BI5" s="146"/>
      <c r="BJ5" s="146"/>
      <c r="BK5" s="146"/>
      <c r="BL5" s="146"/>
      <c r="BM5" s="146"/>
      <c r="BN5" s="146"/>
      <c r="BO5" s="146"/>
      <c r="BP5" s="146"/>
      <c r="BQ5" s="146"/>
    </row>
    <row r="6" spans="1:69" ht="15" customHeight="1" x14ac:dyDescent="0.25">
      <c r="A6" s="619"/>
      <c r="B6" s="598"/>
      <c r="C6" s="595"/>
      <c r="D6" s="595"/>
      <c r="E6" s="609"/>
      <c r="F6" s="191" t="s">
        <v>11</v>
      </c>
      <c r="G6" s="589"/>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f>SUM(H6:BC6)</f>
        <v>0</v>
      </c>
      <c r="BE6" s="597"/>
      <c r="BF6" s="146"/>
      <c r="BG6" s="146"/>
      <c r="BH6" s="146"/>
      <c r="BI6" s="146"/>
      <c r="BJ6" s="146"/>
      <c r="BK6" s="146"/>
      <c r="BL6" s="146"/>
      <c r="BM6" s="146"/>
      <c r="BN6" s="146"/>
      <c r="BO6" s="146"/>
      <c r="BP6" s="146"/>
      <c r="BQ6" s="146"/>
    </row>
    <row r="7" spans="1:69" x14ac:dyDescent="0.25">
      <c r="A7" s="619"/>
      <c r="B7" s="598"/>
      <c r="C7" s="594"/>
      <c r="D7" s="594"/>
      <c r="E7" s="609"/>
      <c r="F7" s="190" t="s">
        <v>12</v>
      </c>
      <c r="G7" s="588"/>
      <c r="H7" s="196"/>
      <c r="I7" s="196"/>
      <c r="J7" s="196"/>
      <c r="K7" s="196"/>
      <c r="L7" s="196"/>
      <c r="M7" s="196"/>
      <c r="N7" s="196"/>
      <c r="O7" s="196"/>
      <c r="P7" s="196"/>
      <c r="Q7" s="196"/>
      <c r="R7" s="196"/>
      <c r="S7" s="196"/>
      <c r="T7" s="196"/>
      <c r="U7" s="196"/>
      <c r="V7" s="196"/>
      <c r="W7" s="196"/>
      <c r="X7" s="196"/>
      <c r="Y7" s="196"/>
      <c r="Z7" s="196"/>
      <c r="AA7" s="196"/>
      <c r="AB7" s="196"/>
      <c r="AC7" s="196"/>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f t="shared" ref="BD7:BD70" si="0">SUM(H7:BC7)</f>
        <v>0</v>
      </c>
      <c r="BE7" s="596" t="e">
        <f t="shared" ref="BE7" si="1">BD8/BD7</f>
        <v>#DIV/0!</v>
      </c>
      <c r="BF7" s="146"/>
      <c r="BG7" s="146"/>
      <c r="BH7" s="146"/>
      <c r="BI7" s="146"/>
      <c r="BJ7" s="146"/>
      <c r="BK7" s="146"/>
      <c r="BL7" s="146"/>
      <c r="BM7" s="146"/>
      <c r="BN7" s="146"/>
      <c r="BO7" s="146"/>
      <c r="BP7" s="146"/>
      <c r="BQ7" s="146"/>
    </row>
    <row r="8" spans="1:69" x14ac:dyDescent="0.25">
      <c r="A8" s="619"/>
      <c r="B8" s="598"/>
      <c r="C8" s="595"/>
      <c r="D8" s="595"/>
      <c r="E8" s="609"/>
      <c r="F8" s="192" t="s">
        <v>11</v>
      </c>
      <c r="G8" s="589"/>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f t="shared" si="0"/>
        <v>0</v>
      </c>
      <c r="BE8" s="597"/>
      <c r="BF8" s="146"/>
      <c r="BG8" s="146"/>
      <c r="BH8" s="146"/>
      <c r="BI8" s="146"/>
      <c r="BJ8" s="146"/>
      <c r="BK8" s="146"/>
      <c r="BL8" s="146"/>
      <c r="BM8" s="146"/>
      <c r="BN8" s="146"/>
      <c r="BO8" s="146"/>
      <c r="BP8" s="146"/>
      <c r="BQ8" s="146"/>
    </row>
    <row r="9" spans="1:69" ht="13.5" customHeight="1" x14ac:dyDescent="0.25">
      <c r="A9" s="619"/>
      <c r="B9" s="598"/>
      <c r="C9" s="594"/>
      <c r="D9" s="594"/>
      <c r="E9" s="609"/>
      <c r="F9" s="190" t="s">
        <v>12</v>
      </c>
      <c r="G9" s="588"/>
      <c r="H9" s="196"/>
      <c r="I9" s="196"/>
      <c r="J9" s="196"/>
      <c r="K9" s="196"/>
      <c r="L9" s="196"/>
      <c r="M9" s="196"/>
      <c r="N9" s="196"/>
      <c r="O9" s="196"/>
      <c r="P9" s="196"/>
      <c r="Q9" s="196"/>
      <c r="R9" s="196"/>
      <c r="S9" s="196"/>
      <c r="T9" s="196"/>
      <c r="U9" s="196"/>
      <c r="V9" s="196"/>
      <c r="W9" s="196"/>
      <c r="X9" s="196"/>
      <c r="Y9" s="196"/>
      <c r="Z9" s="196"/>
      <c r="AA9" s="196"/>
      <c r="AB9" s="196"/>
      <c r="AC9" s="196"/>
      <c r="AD9" s="196"/>
      <c r="AE9" s="196"/>
      <c r="AF9" s="196"/>
      <c r="AG9" s="196"/>
      <c r="AH9" s="196"/>
      <c r="AI9" s="196"/>
      <c r="AJ9" s="196"/>
      <c r="AK9" s="196"/>
      <c r="AL9" s="196"/>
      <c r="AM9" s="196"/>
      <c r="AN9" s="196"/>
      <c r="AO9" s="196"/>
      <c r="AP9" s="196"/>
      <c r="AQ9" s="196"/>
      <c r="AR9" s="196"/>
      <c r="AS9" s="196"/>
      <c r="AT9" s="196"/>
      <c r="AU9" s="196"/>
      <c r="AV9" s="196"/>
      <c r="AW9" s="196"/>
      <c r="AX9" s="196"/>
      <c r="AY9" s="196"/>
      <c r="AZ9" s="196"/>
      <c r="BA9" s="196"/>
      <c r="BB9" s="196"/>
      <c r="BC9" s="196"/>
      <c r="BD9" s="196">
        <f t="shared" si="0"/>
        <v>0</v>
      </c>
      <c r="BE9" s="596" t="e">
        <f t="shared" ref="BE9" si="2">BD10/BD9</f>
        <v>#DIV/0!</v>
      </c>
      <c r="BF9" s="146"/>
      <c r="BG9" s="146"/>
      <c r="BH9" s="146"/>
      <c r="BI9" s="146"/>
      <c r="BJ9" s="146"/>
      <c r="BK9" s="146"/>
      <c r="BL9" s="146"/>
      <c r="BM9" s="146"/>
      <c r="BN9" s="146"/>
      <c r="BO9" s="146"/>
      <c r="BP9" s="146"/>
      <c r="BQ9" s="146"/>
    </row>
    <row r="10" spans="1:69" ht="15.75" customHeight="1" x14ac:dyDescent="0.25">
      <c r="A10" s="619"/>
      <c r="B10" s="598"/>
      <c r="C10" s="595"/>
      <c r="D10" s="595"/>
      <c r="E10" s="609"/>
      <c r="F10" s="192" t="s">
        <v>11</v>
      </c>
      <c r="G10" s="589"/>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f t="shared" si="0"/>
        <v>0</v>
      </c>
      <c r="BE10" s="597"/>
      <c r="BF10" s="146"/>
      <c r="BG10" s="146"/>
      <c r="BH10" s="146"/>
      <c r="BI10" s="146"/>
      <c r="BJ10" s="146"/>
      <c r="BK10" s="146"/>
      <c r="BL10" s="146"/>
      <c r="BM10" s="146"/>
      <c r="BN10" s="146"/>
      <c r="BO10" s="146"/>
      <c r="BP10" s="146"/>
      <c r="BQ10" s="146"/>
    </row>
    <row r="11" spans="1:69" x14ac:dyDescent="0.25">
      <c r="A11" s="619"/>
      <c r="B11" s="598"/>
      <c r="C11" s="594"/>
      <c r="D11" s="594"/>
      <c r="E11" s="609"/>
      <c r="F11" s="190" t="s">
        <v>12</v>
      </c>
      <c r="G11" s="588"/>
      <c r="H11" s="196"/>
      <c r="I11" s="196"/>
      <c r="J11" s="196"/>
      <c r="K11" s="196"/>
      <c r="L11" s="196"/>
      <c r="M11" s="196"/>
      <c r="N11" s="196"/>
      <c r="O11" s="196"/>
      <c r="P11" s="196"/>
      <c r="Q11" s="196"/>
      <c r="R11" s="196"/>
      <c r="S11" s="196"/>
      <c r="T11" s="196"/>
      <c r="U11" s="196"/>
      <c r="V11" s="196"/>
      <c r="W11" s="196"/>
      <c r="X11" s="196"/>
      <c r="Y11" s="196"/>
      <c r="Z11" s="196"/>
      <c r="AA11" s="196"/>
      <c r="AB11" s="196"/>
      <c r="AC11" s="196"/>
      <c r="AD11" s="196"/>
      <c r="AE11" s="196"/>
      <c r="AF11" s="196"/>
      <c r="AG11" s="196"/>
      <c r="AH11" s="196"/>
      <c r="AI11" s="196"/>
      <c r="AJ11" s="196"/>
      <c r="AK11" s="196"/>
      <c r="AL11" s="196"/>
      <c r="AM11" s="196"/>
      <c r="AN11" s="196"/>
      <c r="AO11" s="196"/>
      <c r="AP11" s="196"/>
      <c r="AQ11" s="196"/>
      <c r="AR11" s="196"/>
      <c r="AS11" s="196"/>
      <c r="AT11" s="196"/>
      <c r="AU11" s="196"/>
      <c r="AV11" s="196"/>
      <c r="AW11" s="196"/>
      <c r="AX11" s="196"/>
      <c r="AY11" s="196"/>
      <c r="AZ11" s="196"/>
      <c r="BA11" s="196"/>
      <c r="BB11" s="196"/>
      <c r="BC11" s="196"/>
      <c r="BD11" s="196">
        <f t="shared" si="0"/>
        <v>0</v>
      </c>
      <c r="BE11" s="596" t="e">
        <f t="shared" ref="BE11" si="3">BD12/BD11</f>
        <v>#DIV/0!</v>
      </c>
      <c r="BF11" s="146"/>
      <c r="BG11" s="146"/>
      <c r="BH11" s="146"/>
      <c r="BI11" s="146"/>
      <c r="BJ11" s="146"/>
      <c r="BK11" s="146"/>
      <c r="BL11" s="146"/>
      <c r="BM11" s="146"/>
      <c r="BN11" s="146"/>
      <c r="BO11" s="146"/>
      <c r="BP11" s="146"/>
      <c r="BQ11" s="146"/>
    </row>
    <row r="12" spans="1:69" ht="20.25" customHeight="1" x14ac:dyDescent="0.25">
      <c r="A12" s="619"/>
      <c r="B12" s="598"/>
      <c r="C12" s="595"/>
      <c r="D12" s="595"/>
      <c r="E12" s="609"/>
      <c r="F12" s="192" t="s">
        <v>11</v>
      </c>
      <c r="G12" s="589"/>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7"/>
      <c r="BB12" s="57"/>
      <c r="BC12" s="57"/>
      <c r="BD12" s="57">
        <f t="shared" si="0"/>
        <v>0</v>
      </c>
      <c r="BE12" s="597"/>
      <c r="BF12" s="146"/>
      <c r="BG12" s="146"/>
      <c r="BH12" s="146"/>
      <c r="BI12" s="146"/>
      <c r="BJ12" s="158"/>
      <c r="BK12" s="146"/>
      <c r="BL12" s="146"/>
      <c r="BM12" s="146"/>
      <c r="BN12" s="146"/>
      <c r="BO12" s="146"/>
      <c r="BP12" s="146"/>
      <c r="BQ12" s="146"/>
    </row>
    <row r="13" spans="1:69" ht="17.25" customHeight="1" x14ac:dyDescent="0.25">
      <c r="A13" s="619"/>
      <c r="B13" s="598"/>
      <c r="C13" s="594"/>
      <c r="D13" s="594"/>
      <c r="E13" s="610"/>
      <c r="F13" s="190" t="s">
        <v>12</v>
      </c>
      <c r="G13" s="588"/>
      <c r="H13" s="196"/>
      <c r="I13" s="196"/>
      <c r="J13" s="196"/>
      <c r="K13" s="196"/>
      <c r="L13" s="196"/>
      <c r="M13" s="196"/>
      <c r="N13" s="196"/>
      <c r="O13" s="196"/>
      <c r="P13" s="196"/>
      <c r="Q13" s="196"/>
      <c r="R13" s="196"/>
      <c r="S13" s="196"/>
      <c r="T13" s="196"/>
      <c r="U13" s="196"/>
      <c r="V13" s="196"/>
      <c r="W13" s="196"/>
      <c r="X13" s="196"/>
      <c r="Y13" s="196"/>
      <c r="Z13" s="196"/>
      <c r="AA13" s="196"/>
      <c r="AB13" s="196"/>
      <c r="AC13" s="196"/>
      <c r="AD13" s="196"/>
      <c r="AE13" s="196"/>
      <c r="AF13" s="196"/>
      <c r="AG13" s="196"/>
      <c r="AH13" s="196"/>
      <c r="AI13" s="196"/>
      <c r="AJ13" s="196"/>
      <c r="AK13" s="196"/>
      <c r="AL13" s="196"/>
      <c r="AM13" s="196"/>
      <c r="AN13" s="196"/>
      <c r="AO13" s="196"/>
      <c r="AP13" s="196"/>
      <c r="AQ13" s="196"/>
      <c r="AR13" s="196"/>
      <c r="AS13" s="196"/>
      <c r="AT13" s="196"/>
      <c r="AU13" s="196"/>
      <c r="AV13" s="196"/>
      <c r="AW13" s="196"/>
      <c r="AX13" s="196"/>
      <c r="AY13" s="196"/>
      <c r="AZ13" s="196"/>
      <c r="BA13" s="196"/>
      <c r="BB13" s="196"/>
      <c r="BC13" s="196"/>
      <c r="BD13" s="196">
        <f t="shared" si="0"/>
        <v>0</v>
      </c>
      <c r="BE13" s="596" t="e">
        <f t="shared" ref="BE13" si="4">BD14/BD13</f>
        <v>#DIV/0!</v>
      </c>
      <c r="BF13" s="146"/>
      <c r="BG13" s="146"/>
      <c r="BH13" s="146"/>
      <c r="BI13" s="146"/>
      <c r="BJ13" s="146"/>
      <c r="BK13" s="146"/>
      <c r="BL13" s="146"/>
      <c r="BM13" s="146"/>
      <c r="BN13" s="146"/>
      <c r="BO13" s="146"/>
      <c r="BP13" s="146"/>
      <c r="BQ13" s="146"/>
    </row>
    <row r="14" spans="1:69" ht="12.75" customHeight="1" x14ac:dyDescent="0.25">
      <c r="A14" s="619"/>
      <c r="B14" s="598"/>
      <c r="C14" s="595"/>
      <c r="D14" s="595"/>
      <c r="E14" s="610"/>
      <c r="F14" s="192" t="s">
        <v>11</v>
      </c>
      <c r="G14" s="589"/>
      <c r="H14" s="57"/>
      <c r="I14" s="57"/>
      <c r="J14" s="57"/>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7"/>
      <c r="BB14" s="57"/>
      <c r="BC14" s="57"/>
      <c r="BD14" s="57">
        <f t="shared" si="0"/>
        <v>0</v>
      </c>
      <c r="BE14" s="597"/>
      <c r="BF14" s="146"/>
      <c r="BG14" s="146"/>
      <c r="BH14" s="146"/>
      <c r="BI14" s="146"/>
      <c r="BJ14" s="158"/>
      <c r="BK14" s="146"/>
      <c r="BL14" s="146"/>
      <c r="BM14" s="146"/>
      <c r="BN14" s="146"/>
      <c r="BO14" s="146"/>
      <c r="BP14" s="146"/>
      <c r="BQ14" s="146"/>
    </row>
    <row r="15" spans="1:69" ht="15" customHeight="1" x14ac:dyDescent="0.25">
      <c r="A15" s="619"/>
      <c r="B15" s="594"/>
      <c r="C15" s="594"/>
      <c r="D15" s="594"/>
      <c r="E15" s="607"/>
      <c r="F15" s="190" t="s">
        <v>12</v>
      </c>
      <c r="G15" s="588"/>
      <c r="H15" s="196"/>
      <c r="I15" s="196"/>
      <c r="J15" s="196"/>
      <c r="K15" s="196"/>
      <c r="L15" s="196"/>
      <c r="M15" s="196"/>
      <c r="N15" s="196"/>
      <c r="O15" s="196"/>
      <c r="P15" s="196"/>
      <c r="Q15" s="196"/>
      <c r="R15" s="196"/>
      <c r="S15" s="196"/>
      <c r="T15" s="196"/>
      <c r="U15" s="196"/>
      <c r="V15" s="196"/>
      <c r="W15" s="196"/>
      <c r="X15" s="196"/>
      <c r="Y15" s="196"/>
      <c r="Z15" s="196"/>
      <c r="AA15" s="196"/>
      <c r="AB15" s="196"/>
      <c r="AC15" s="196"/>
      <c r="AD15" s="196"/>
      <c r="AE15" s="196"/>
      <c r="AF15" s="196"/>
      <c r="AG15" s="196"/>
      <c r="AH15" s="196"/>
      <c r="AI15" s="196"/>
      <c r="AJ15" s="196"/>
      <c r="AK15" s="196"/>
      <c r="AL15" s="196"/>
      <c r="AM15" s="196"/>
      <c r="AN15" s="196"/>
      <c r="AO15" s="196"/>
      <c r="AP15" s="196"/>
      <c r="AQ15" s="196"/>
      <c r="AR15" s="196"/>
      <c r="AS15" s="196"/>
      <c r="AT15" s="196"/>
      <c r="AU15" s="196"/>
      <c r="AV15" s="196"/>
      <c r="AW15" s="196"/>
      <c r="AX15" s="196"/>
      <c r="AY15" s="196"/>
      <c r="AZ15" s="196"/>
      <c r="BA15" s="196"/>
      <c r="BB15" s="196"/>
      <c r="BC15" s="196"/>
      <c r="BD15" s="196">
        <f t="shared" si="0"/>
        <v>0</v>
      </c>
      <c r="BE15" s="596" t="e">
        <f t="shared" ref="BE15" si="5">BD16/BD15</f>
        <v>#DIV/0!</v>
      </c>
      <c r="BF15" s="146"/>
      <c r="BG15" s="146"/>
      <c r="BH15" s="146"/>
      <c r="BI15" s="146"/>
      <c r="BJ15" s="146"/>
      <c r="BK15" s="146"/>
      <c r="BL15" s="146"/>
      <c r="BM15" s="146"/>
      <c r="BN15" s="146"/>
      <c r="BO15" s="146"/>
      <c r="BP15" s="146"/>
      <c r="BQ15" s="146"/>
    </row>
    <row r="16" spans="1:69" ht="15" customHeight="1" x14ac:dyDescent="0.25">
      <c r="A16" s="619"/>
      <c r="B16" s="620"/>
      <c r="C16" s="595"/>
      <c r="D16" s="595"/>
      <c r="E16" s="608"/>
      <c r="F16" s="192" t="s">
        <v>11</v>
      </c>
      <c r="G16" s="589"/>
      <c r="H16" s="57"/>
      <c r="I16" s="57"/>
      <c r="J16" s="57"/>
      <c r="K16" s="57"/>
      <c r="L16" s="57"/>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57"/>
      <c r="BD16" s="57">
        <f t="shared" si="0"/>
        <v>0</v>
      </c>
      <c r="BE16" s="597"/>
      <c r="BF16" s="158"/>
      <c r="BG16" s="146"/>
      <c r="BH16" s="146"/>
      <c r="BI16" s="146"/>
      <c r="BJ16" s="146"/>
      <c r="BK16" s="146"/>
      <c r="BL16" s="146"/>
      <c r="BM16" s="146"/>
      <c r="BN16" s="146"/>
      <c r="BO16" s="146"/>
      <c r="BP16" s="146"/>
      <c r="BQ16" s="146"/>
    </row>
    <row r="17" spans="1:69" ht="15" customHeight="1" x14ac:dyDescent="0.25">
      <c r="A17" s="619"/>
      <c r="B17" s="620"/>
      <c r="C17" s="594"/>
      <c r="D17" s="594"/>
      <c r="E17" s="607"/>
      <c r="F17" s="190" t="s">
        <v>12</v>
      </c>
      <c r="G17" s="588"/>
      <c r="H17" s="196"/>
      <c r="I17" s="196"/>
      <c r="J17" s="196"/>
      <c r="K17" s="196"/>
      <c r="L17" s="196"/>
      <c r="M17" s="196"/>
      <c r="N17" s="196"/>
      <c r="O17" s="196"/>
      <c r="P17" s="196"/>
      <c r="Q17" s="196"/>
      <c r="R17" s="196"/>
      <c r="S17" s="196"/>
      <c r="T17" s="196"/>
      <c r="U17" s="196"/>
      <c r="V17" s="196"/>
      <c r="W17" s="196"/>
      <c r="X17" s="196"/>
      <c r="Y17" s="196"/>
      <c r="Z17" s="196"/>
      <c r="AA17" s="196"/>
      <c r="AB17" s="196"/>
      <c r="AC17" s="196"/>
      <c r="AD17" s="196"/>
      <c r="AE17" s="196"/>
      <c r="AF17" s="196"/>
      <c r="AG17" s="196"/>
      <c r="AH17" s="196"/>
      <c r="AI17" s="196"/>
      <c r="AJ17" s="196"/>
      <c r="AK17" s="196"/>
      <c r="AL17" s="196"/>
      <c r="AM17" s="196"/>
      <c r="AN17" s="196"/>
      <c r="AO17" s="196"/>
      <c r="AP17" s="196"/>
      <c r="AQ17" s="196"/>
      <c r="AR17" s="196"/>
      <c r="AS17" s="196"/>
      <c r="AT17" s="196"/>
      <c r="AU17" s="196"/>
      <c r="AV17" s="196"/>
      <c r="AW17" s="196"/>
      <c r="AX17" s="196"/>
      <c r="AY17" s="196"/>
      <c r="AZ17" s="196"/>
      <c r="BA17" s="196"/>
      <c r="BB17" s="196"/>
      <c r="BC17" s="196"/>
      <c r="BD17" s="196">
        <f t="shared" si="0"/>
        <v>0</v>
      </c>
      <c r="BE17" s="596" t="e">
        <f t="shared" ref="BE17" si="6">BD18/BD17</f>
        <v>#DIV/0!</v>
      </c>
      <c r="BF17" s="146"/>
      <c r="BG17" s="146"/>
      <c r="BH17" s="146"/>
      <c r="BI17" s="146"/>
      <c r="BJ17" s="146"/>
      <c r="BK17" s="146"/>
      <c r="BL17" s="146"/>
      <c r="BM17" s="146"/>
      <c r="BN17" s="146"/>
      <c r="BO17" s="146"/>
      <c r="BP17" s="146"/>
      <c r="BQ17" s="146"/>
    </row>
    <row r="18" spans="1:69" ht="15" customHeight="1" x14ac:dyDescent="0.25">
      <c r="A18" s="619"/>
      <c r="B18" s="620"/>
      <c r="C18" s="595"/>
      <c r="D18" s="595"/>
      <c r="E18" s="608"/>
      <c r="F18" s="191" t="s">
        <v>11</v>
      </c>
      <c r="G18" s="589"/>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X18" s="57"/>
      <c r="AY18" s="57"/>
      <c r="AZ18" s="57"/>
      <c r="BA18" s="57"/>
      <c r="BB18" s="57"/>
      <c r="BC18" s="57"/>
      <c r="BD18" s="57">
        <f t="shared" si="0"/>
        <v>0</v>
      </c>
      <c r="BE18" s="597"/>
      <c r="BF18" s="158"/>
      <c r="BG18" s="146"/>
      <c r="BH18" s="146"/>
      <c r="BI18" s="146"/>
      <c r="BJ18" s="146"/>
      <c r="BK18" s="146"/>
      <c r="BL18" s="146"/>
      <c r="BM18" s="146"/>
      <c r="BN18" s="146"/>
      <c r="BO18" s="146"/>
      <c r="BP18" s="146"/>
      <c r="BQ18" s="146"/>
    </row>
    <row r="19" spans="1:69" ht="15" customHeight="1" x14ac:dyDescent="0.25">
      <c r="A19" s="619"/>
      <c r="B19" s="620"/>
      <c r="C19" s="594"/>
      <c r="D19" s="594"/>
      <c r="E19" s="607"/>
      <c r="F19" s="190" t="s">
        <v>12</v>
      </c>
      <c r="G19" s="588"/>
      <c r="H19" s="196"/>
      <c r="I19" s="196"/>
      <c r="J19" s="196"/>
      <c r="K19" s="196"/>
      <c r="L19" s="196"/>
      <c r="M19" s="196"/>
      <c r="N19" s="196"/>
      <c r="O19" s="196"/>
      <c r="P19" s="196"/>
      <c r="Q19" s="196"/>
      <c r="R19" s="196"/>
      <c r="S19" s="196"/>
      <c r="T19" s="196"/>
      <c r="U19" s="196"/>
      <c r="V19" s="196"/>
      <c r="W19" s="196"/>
      <c r="X19" s="196"/>
      <c r="Y19" s="196"/>
      <c r="Z19" s="196"/>
      <c r="AA19" s="196"/>
      <c r="AB19" s="196"/>
      <c r="AC19" s="196"/>
      <c r="AD19" s="196"/>
      <c r="AE19" s="196"/>
      <c r="AF19" s="196"/>
      <c r="AG19" s="196"/>
      <c r="AH19" s="196"/>
      <c r="AI19" s="196"/>
      <c r="AJ19" s="196"/>
      <c r="AK19" s="196"/>
      <c r="AL19" s="196"/>
      <c r="AM19" s="196"/>
      <c r="AN19" s="196"/>
      <c r="AO19" s="196"/>
      <c r="AP19" s="196"/>
      <c r="AQ19" s="196"/>
      <c r="AR19" s="196"/>
      <c r="AS19" s="196"/>
      <c r="AT19" s="196"/>
      <c r="AU19" s="196"/>
      <c r="AV19" s="196"/>
      <c r="AW19" s="196"/>
      <c r="AX19" s="196"/>
      <c r="AY19" s="196"/>
      <c r="AZ19" s="196"/>
      <c r="BA19" s="196"/>
      <c r="BB19" s="196"/>
      <c r="BC19" s="196"/>
      <c r="BD19" s="196">
        <f t="shared" si="0"/>
        <v>0</v>
      </c>
      <c r="BE19" s="596" t="e">
        <f t="shared" ref="BE19" si="7">BD20/BD19</f>
        <v>#DIV/0!</v>
      </c>
      <c r="BF19" s="146"/>
      <c r="BG19" s="146"/>
      <c r="BH19" s="146"/>
      <c r="BI19" s="146"/>
      <c r="BJ19" s="146"/>
      <c r="BK19" s="146"/>
      <c r="BL19" s="146"/>
      <c r="BM19" s="146"/>
      <c r="BN19" s="146"/>
      <c r="BO19" s="146"/>
      <c r="BP19" s="146"/>
      <c r="BQ19" s="146"/>
    </row>
    <row r="20" spans="1:69" ht="19.5" customHeight="1" x14ac:dyDescent="0.25">
      <c r="A20" s="619"/>
      <c r="B20" s="620"/>
      <c r="C20" s="595"/>
      <c r="D20" s="595"/>
      <c r="E20" s="608"/>
      <c r="F20" s="191" t="s">
        <v>11</v>
      </c>
      <c r="G20" s="589"/>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c r="AY20" s="57"/>
      <c r="AZ20" s="57"/>
      <c r="BA20" s="57"/>
      <c r="BB20" s="57"/>
      <c r="BC20" s="57"/>
      <c r="BD20" s="57">
        <f t="shared" si="0"/>
        <v>0</v>
      </c>
      <c r="BE20" s="597"/>
      <c r="BF20" s="158"/>
      <c r="BG20" s="146"/>
      <c r="BH20" s="146"/>
      <c r="BI20" s="146"/>
      <c r="BJ20" s="146"/>
      <c r="BK20" s="146"/>
      <c r="BL20" s="146"/>
      <c r="BM20" s="146"/>
      <c r="BN20" s="146"/>
      <c r="BO20" s="146"/>
      <c r="BP20" s="146"/>
      <c r="BQ20" s="146"/>
    </row>
    <row r="21" spans="1:69" ht="20.25" customHeight="1" x14ac:dyDescent="0.25">
      <c r="A21" s="619"/>
      <c r="B21" s="620"/>
      <c r="C21" s="594"/>
      <c r="D21" s="594"/>
      <c r="E21" s="607"/>
      <c r="F21" s="190" t="s">
        <v>12</v>
      </c>
      <c r="G21" s="588"/>
      <c r="H21" s="196"/>
      <c r="I21" s="196"/>
      <c r="J21" s="196"/>
      <c r="K21" s="196"/>
      <c r="L21" s="196"/>
      <c r="M21" s="196"/>
      <c r="N21" s="196"/>
      <c r="O21" s="196"/>
      <c r="P21" s="196"/>
      <c r="Q21" s="196"/>
      <c r="R21" s="196"/>
      <c r="S21" s="196"/>
      <c r="T21" s="196"/>
      <c r="U21" s="196"/>
      <c r="V21" s="196"/>
      <c r="W21" s="196"/>
      <c r="X21" s="196"/>
      <c r="Y21" s="196"/>
      <c r="Z21" s="196"/>
      <c r="AA21" s="196"/>
      <c r="AB21" s="196"/>
      <c r="AC21" s="196"/>
      <c r="AD21" s="196"/>
      <c r="AE21" s="196"/>
      <c r="AF21" s="196"/>
      <c r="AG21" s="196"/>
      <c r="AH21" s="196"/>
      <c r="AI21" s="196"/>
      <c r="AJ21" s="196"/>
      <c r="AK21" s="196"/>
      <c r="AL21" s="196"/>
      <c r="AM21" s="196"/>
      <c r="AN21" s="196"/>
      <c r="AO21" s="196"/>
      <c r="AP21" s="196"/>
      <c r="AQ21" s="196"/>
      <c r="AR21" s="196"/>
      <c r="AS21" s="196"/>
      <c r="AT21" s="196"/>
      <c r="AU21" s="196"/>
      <c r="AV21" s="196"/>
      <c r="AW21" s="196"/>
      <c r="AX21" s="196"/>
      <c r="AY21" s="196"/>
      <c r="AZ21" s="196"/>
      <c r="BA21" s="196"/>
      <c r="BB21" s="196"/>
      <c r="BC21" s="196"/>
      <c r="BD21" s="196">
        <f t="shared" si="0"/>
        <v>0</v>
      </c>
      <c r="BE21" s="596" t="e">
        <f t="shared" ref="BE21" si="8">BD22/BD21</f>
        <v>#DIV/0!</v>
      </c>
      <c r="BF21" s="146"/>
      <c r="BG21" s="146"/>
      <c r="BH21" s="146"/>
      <c r="BI21" s="146"/>
      <c r="BJ21" s="146"/>
      <c r="BK21" s="146"/>
      <c r="BL21" s="146"/>
      <c r="BM21" s="146"/>
      <c r="BN21" s="146"/>
      <c r="BO21" s="146"/>
      <c r="BP21" s="146"/>
      <c r="BQ21" s="146"/>
    </row>
    <row r="22" spans="1:69" ht="22.5" customHeight="1" x14ac:dyDescent="0.25">
      <c r="A22" s="619"/>
      <c r="B22" s="620"/>
      <c r="C22" s="595"/>
      <c r="D22" s="595"/>
      <c r="E22" s="608"/>
      <c r="F22" s="191" t="s">
        <v>11</v>
      </c>
      <c r="G22" s="589"/>
      <c r="H22" s="57"/>
      <c r="I22" s="57"/>
      <c r="J22" s="57"/>
      <c r="K22" s="57"/>
      <c r="L22" s="57"/>
      <c r="M22" s="57"/>
      <c r="N22" s="57"/>
      <c r="O22" s="57"/>
      <c r="P22" s="57"/>
      <c r="Q22" s="57"/>
      <c r="R22" s="57"/>
      <c r="S22" s="57"/>
      <c r="T22" s="57"/>
      <c r="U22" s="57"/>
      <c r="V22" s="57"/>
      <c r="W22" s="57"/>
      <c r="X22" s="57"/>
      <c r="Y22" s="57"/>
      <c r="Z22" s="57"/>
      <c r="AA22" s="57"/>
      <c r="AB22" s="57"/>
      <c r="AC22" s="57"/>
      <c r="AD22" s="57"/>
      <c r="AE22" s="57"/>
      <c r="AF22" s="57"/>
      <c r="AG22" s="57"/>
      <c r="AH22" s="57"/>
      <c r="AI22" s="57"/>
      <c r="AJ22" s="57"/>
      <c r="AK22" s="57"/>
      <c r="AL22" s="57"/>
      <c r="AM22" s="57"/>
      <c r="AN22" s="57"/>
      <c r="AO22" s="57"/>
      <c r="AP22" s="57"/>
      <c r="AQ22" s="57"/>
      <c r="AR22" s="57"/>
      <c r="AS22" s="57"/>
      <c r="AT22" s="57"/>
      <c r="AU22" s="57"/>
      <c r="AV22" s="57"/>
      <c r="AW22" s="57"/>
      <c r="AX22" s="57"/>
      <c r="AY22" s="57"/>
      <c r="AZ22" s="57"/>
      <c r="BA22" s="57"/>
      <c r="BB22" s="57"/>
      <c r="BC22" s="57"/>
      <c r="BD22" s="57">
        <f t="shared" si="0"/>
        <v>0</v>
      </c>
      <c r="BE22" s="597"/>
      <c r="BF22" s="158"/>
      <c r="BG22" s="146"/>
      <c r="BH22" s="146"/>
      <c r="BI22" s="146"/>
      <c r="BJ22" s="146"/>
      <c r="BK22" s="146"/>
      <c r="BL22" s="146"/>
      <c r="BM22" s="146"/>
      <c r="BN22" s="146"/>
      <c r="BO22" s="146"/>
      <c r="BP22" s="146"/>
      <c r="BQ22" s="146"/>
    </row>
    <row r="23" spans="1:69" x14ac:dyDescent="0.25">
      <c r="A23" s="619"/>
      <c r="B23" s="620"/>
      <c r="C23" s="594"/>
      <c r="D23" s="594"/>
      <c r="E23" s="612"/>
      <c r="F23" s="190" t="s">
        <v>12</v>
      </c>
      <c r="G23" s="588"/>
      <c r="H23" s="196"/>
      <c r="I23" s="196"/>
      <c r="J23" s="196"/>
      <c r="K23" s="196"/>
      <c r="L23" s="196"/>
      <c r="M23" s="196"/>
      <c r="N23" s="196"/>
      <c r="O23" s="196"/>
      <c r="P23" s="196"/>
      <c r="Q23" s="196"/>
      <c r="R23" s="196"/>
      <c r="S23" s="196"/>
      <c r="T23" s="196"/>
      <c r="U23" s="196"/>
      <c r="V23" s="196"/>
      <c r="W23" s="196"/>
      <c r="X23" s="196"/>
      <c r="Y23" s="196"/>
      <c r="Z23" s="196"/>
      <c r="AA23" s="196"/>
      <c r="AB23" s="196"/>
      <c r="AC23" s="196"/>
      <c r="AD23" s="196"/>
      <c r="AE23" s="196"/>
      <c r="AF23" s="196"/>
      <c r="AG23" s="196"/>
      <c r="AH23" s="196"/>
      <c r="AI23" s="196"/>
      <c r="AJ23" s="196"/>
      <c r="AK23" s="196"/>
      <c r="AL23" s="196"/>
      <c r="AM23" s="196"/>
      <c r="AN23" s="196"/>
      <c r="AO23" s="196"/>
      <c r="AP23" s="196"/>
      <c r="AQ23" s="196"/>
      <c r="AR23" s="196"/>
      <c r="AS23" s="196"/>
      <c r="AT23" s="196"/>
      <c r="AU23" s="196"/>
      <c r="AV23" s="196"/>
      <c r="AW23" s="196"/>
      <c r="AX23" s="196"/>
      <c r="AY23" s="196"/>
      <c r="AZ23" s="196"/>
      <c r="BA23" s="196"/>
      <c r="BB23" s="196"/>
      <c r="BC23" s="196"/>
      <c r="BD23" s="196">
        <f t="shared" si="0"/>
        <v>0</v>
      </c>
      <c r="BE23" s="596" t="e">
        <f t="shared" ref="BE23" si="9">BD24/BD23</f>
        <v>#DIV/0!</v>
      </c>
      <c r="BF23" s="146"/>
      <c r="BG23" s="146"/>
      <c r="BH23" s="146"/>
      <c r="BI23" s="146"/>
      <c r="BJ23" s="146"/>
      <c r="BK23" s="146"/>
      <c r="BL23" s="146"/>
      <c r="BM23" s="146"/>
      <c r="BN23" s="146"/>
      <c r="BO23" s="146"/>
      <c r="BP23" s="146"/>
      <c r="BQ23" s="146"/>
    </row>
    <row r="24" spans="1:69" x14ac:dyDescent="0.25">
      <c r="A24" s="619"/>
      <c r="B24" s="620"/>
      <c r="C24" s="595"/>
      <c r="D24" s="595"/>
      <c r="E24" s="613"/>
      <c r="F24" s="191" t="s">
        <v>11</v>
      </c>
      <c r="G24" s="589"/>
      <c r="H24" s="57"/>
      <c r="I24" s="57"/>
      <c r="J24" s="57"/>
      <c r="K24" s="57"/>
      <c r="L24" s="57"/>
      <c r="M24" s="57"/>
      <c r="N24" s="57"/>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57"/>
      <c r="AU24" s="57"/>
      <c r="AV24" s="57"/>
      <c r="AW24" s="57"/>
      <c r="AX24" s="57"/>
      <c r="AY24" s="57"/>
      <c r="AZ24" s="57"/>
      <c r="BA24" s="57"/>
      <c r="BB24" s="57"/>
      <c r="BC24" s="57"/>
      <c r="BD24" s="57">
        <f t="shared" si="0"/>
        <v>0</v>
      </c>
      <c r="BE24" s="597"/>
      <c r="BF24" s="146"/>
      <c r="BG24" s="146"/>
      <c r="BH24" s="146"/>
      <c r="BI24" s="146"/>
      <c r="BJ24" s="146"/>
      <c r="BK24" s="146"/>
      <c r="BL24" s="146"/>
      <c r="BM24" s="146"/>
      <c r="BN24" s="146"/>
      <c r="BO24" s="146"/>
      <c r="BP24" s="146"/>
      <c r="BQ24" s="146"/>
    </row>
    <row r="25" spans="1:69" x14ac:dyDescent="0.25">
      <c r="A25" s="619"/>
      <c r="B25" s="620"/>
      <c r="C25" s="594"/>
      <c r="D25" s="594"/>
      <c r="E25" s="607"/>
      <c r="F25" s="190" t="s">
        <v>12</v>
      </c>
      <c r="G25" s="588"/>
      <c r="H25" s="196"/>
      <c r="I25" s="196"/>
      <c r="J25" s="196"/>
      <c r="K25" s="196"/>
      <c r="L25" s="196"/>
      <c r="M25" s="196"/>
      <c r="N25" s="196"/>
      <c r="O25" s="196"/>
      <c r="P25" s="196"/>
      <c r="Q25" s="196"/>
      <c r="R25" s="196"/>
      <c r="S25" s="196"/>
      <c r="T25" s="196"/>
      <c r="U25" s="196"/>
      <c r="V25" s="196"/>
      <c r="W25" s="196"/>
      <c r="X25" s="196"/>
      <c r="Y25" s="196"/>
      <c r="Z25" s="196"/>
      <c r="AA25" s="196"/>
      <c r="AB25" s="196"/>
      <c r="AC25" s="196"/>
      <c r="AD25" s="196"/>
      <c r="AE25" s="196"/>
      <c r="AF25" s="196"/>
      <c r="AG25" s="196"/>
      <c r="AH25" s="196"/>
      <c r="AI25" s="196"/>
      <c r="AJ25" s="196"/>
      <c r="AK25" s="196"/>
      <c r="AL25" s="196"/>
      <c r="AM25" s="196"/>
      <c r="AN25" s="196"/>
      <c r="AO25" s="196"/>
      <c r="AP25" s="196"/>
      <c r="AQ25" s="196"/>
      <c r="AR25" s="196"/>
      <c r="AS25" s="196"/>
      <c r="AT25" s="196"/>
      <c r="AU25" s="196"/>
      <c r="AV25" s="196"/>
      <c r="AW25" s="196"/>
      <c r="AX25" s="196"/>
      <c r="AY25" s="196"/>
      <c r="AZ25" s="196"/>
      <c r="BA25" s="196"/>
      <c r="BB25" s="196"/>
      <c r="BC25" s="196"/>
      <c r="BD25" s="196">
        <f t="shared" si="0"/>
        <v>0</v>
      </c>
      <c r="BE25" s="596" t="e">
        <f t="shared" ref="BE25" si="10">BD26/BD25</f>
        <v>#DIV/0!</v>
      </c>
      <c r="BF25" s="146"/>
      <c r="BG25" s="146"/>
      <c r="BH25" s="146"/>
      <c r="BI25" s="146"/>
      <c r="BJ25" s="146"/>
      <c r="BK25" s="146"/>
      <c r="BL25" s="146"/>
      <c r="BM25" s="146"/>
      <c r="BN25" s="146"/>
      <c r="BO25" s="146"/>
      <c r="BP25" s="146"/>
      <c r="BQ25" s="146"/>
    </row>
    <row r="26" spans="1:69" ht="20.25" customHeight="1" x14ac:dyDescent="0.25">
      <c r="A26" s="619"/>
      <c r="B26" s="620"/>
      <c r="C26" s="595"/>
      <c r="D26" s="595"/>
      <c r="E26" s="608"/>
      <c r="F26" s="191" t="s">
        <v>11</v>
      </c>
      <c r="G26" s="589"/>
      <c r="H26" s="57"/>
      <c r="I26" s="57"/>
      <c r="J26" s="57"/>
      <c r="K26" s="57"/>
      <c r="L26" s="57"/>
      <c r="M26" s="57"/>
      <c r="N26" s="57"/>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f t="shared" si="0"/>
        <v>0</v>
      </c>
      <c r="BE26" s="597"/>
      <c r="BF26" s="158"/>
      <c r="BG26" s="146"/>
      <c r="BH26" s="146"/>
      <c r="BI26" s="146"/>
      <c r="BJ26" s="146"/>
      <c r="BK26" s="146"/>
      <c r="BL26" s="146"/>
      <c r="BM26" s="146"/>
      <c r="BN26" s="146"/>
      <c r="BO26" s="146"/>
      <c r="BP26" s="146"/>
      <c r="BQ26" s="146"/>
    </row>
    <row r="27" spans="1:69" x14ac:dyDescent="0.25">
      <c r="A27" s="619"/>
      <c r="B27" s="620"/>
      <c r="C27" s="594"/>
      <c r="D27" s="594"/>
      <c r="E27" s="607"/>
      <c r="F27" s="190" t="s">
        <v>12</v>
      </c>
      <c r="G27" s="198"/>
      <c r="H27" s="196"/>
      <c r="I27" s="196"/>
      <c r="J27" s="196"/>
      <c r="K27" s="196"/>
      <c r="L27" s="196"/>
      <c r="M27" s="196"/>
      <c r="N27" s="196"/>
      <c r="O27" s="196"/>
      <c r="P27" s="196"/>
      <c r="Q27" s="196"/>
      <c r="R27" s="196"/>
      <c r="S27" s="196"/>
      <c r="T27" s="196"/>
      <c r="U27" s="196"/>
      <c r="V27" s="196"/>
      <c r="W27" s="196"/>
      <c r="X27" s="196"/>
      <c r="Y27" s="196"/>
      <c r="Z27" s="196"/>
      <c r="AA27" s="196"/>
      <c r="AB27" s="196"/>
      <c r="AC27" s="196"/>
      <c r="AD27" s="196"/>
      <c r="AE27" s="196"/>
      <c r="AF27" s="196"/>
      <c r="AG27" s="196"/>
      <c r="AH27" s="196"/>
      <c r="AI27" s="196"/>
      <c r="AJ27" s="196"/>
      <c r="AK27" s="196"/>
      <c r="AL27" s="196"/>
      <c r="AM27" s="196"/>
      <c r="AN27" s="196"/>
      <c r="AO27" s="196"/>
      <c r="AP27" s="196"/>
      <c r="AQ27" s="196"/>
      <c r="AR27" s="196"/>
      <c r="AS27" s="196"/>
      <c r="AT27" s="196"/>
      <c r="AU27" s="196"/>
      <c r="AV27" s="196"/>
      <c r="AW27" s="196"/>
      <c r="AX27" s="196"/>
      <c r="AY27" s="196"/>
      <c r="AZ27" s="196"/>
      <c r="BA27" s="196"/>
      <c r="BB27" s="196"/>
      <c r="BC27" s="196"/>
      <c r="BD27" s="196">
        <f t="shared" si="0"/>
        <v>0</v>
      </c>
      <c r="BE27" s="596" t="e">
        <f t="shared" ref="BE27" si="11">BD28/BD27</f>
        <v>#DIV/0!</v>
      </c>
      <c r="BF27" s="158"/>
      <c r="BG27" s="146"/>
      <c r="BH27" s="146"/>
      <c r="BI27" s="146"/>
      <c r="BJ27" s="146"/>
      <c r="BK27" s="146"/>
      <c r="BL27" s="146"/>
      <c r="BM27" s="146"/>
      <c r="BN27" s="146"/>
      <c r="BO27" s="146"/>
      <c r="BP27" s="146"/>
      <c r="BQ27" s="146"/>
    </row>
    <row r="28" spans="1:69" x14ac:dyDescent="0.25">
      <c r="A28" s="619"/>
      <c r="B28" s="620"/>
      <c r="C28" s="595"/>
      <c r="D28" s="595"/>
      <c r="E28" s="608"/>
      <c r="F28" s="191" t="s">
        <v>11</v>
      </c>
      <c r="G28" s="198"/>
      <c r="H28" s="57"/>
      <c r="I28" s="57"/>
      <c r="J28" s="57"/>
      <c r="K28" s="57"/>
      <c r="L28" s="57"/>
      <c r="M28" s="57"/>
      <c r="N28" s="57"/>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f t="shared" si="0"/>
        <v>0</v>
      </c>
      <c r="BE28" s="597"/>
      <c r="BF28" s="158"/>
      <c r="BG28" s="146"/>
      <c r="BH28" s="146"/>
      <c r="BI28" s="146"/>
      <c r="BJ28" s="146"/>
      <c r="BK28" s="146"/>
      <c r="BL28" s="146"/>
      <c r="BM28" s="146"/>
      <c r="BN28" s="146"/>
      <c r="BO28" s="146"/>
      <c r="BP28" s="146"/>
      <c r="BQ28" s="146"/>
    </row>
    <row r="29" spans="1:69" ht="15" customHeight="1" x14ac:dyDescent="0.25">
      <c r="A29" s="619"/>
      <c r="B29" s="620"/>
      <c r="C29" s="594"/>
      <c r="D29" s="594"/>
      <c r="E29" s="592"/>
      <c r="F29" s="190" t="s">
        <v>12</v>
      </c>
      <c r="G29" s="588"/>
      <c r="H29" s="196"/>
      <c r="I29" s="196"/>
      <c r="J29" s="196"/>
      <c r="K29" s="196"/>
      <c r="L29" s="196"/>
      <c r="M29" s="196"/>
      <c r="N29" s="196"/>
      <c r="O29" s="196"/>
      <c r="P29" s="196"/>
      <c r="Q29" s="196"/>
      <c r="R29" s="196"/>
      <c r="S29" s="196"/>
      <c r="T29" s="196"/>
      <c r="U29" s="196"/>
      <c r="V29" s="196"/>
      <c r="W29" s="196"/>
      <c r="X29" s="196"/>
      <c r="Y29" s="196"/>
      <c r="Z29" s="196"/>
      <c r="AA29" s="196"/>
      <c r="AB29" s="196"/>
      <c r="AC29" s="196"/>
      <c r="AD29" s="196"/>
      <c r="AE29" s="196"/>
      <c r="AF29" s="196"/>
      <c r="AG29" s="196"/>
      <c r="AH29" s="196"/>
      <c r="AI29" s="196"/>
      <c r="AJ29" s="196"/>
      <c r="AK29" s="196"/>
      <c r="AL29" s="196"/>
      <c r="AM29" s="196"/>
      <c r="AN29" s="196"/>
      <c r="AO29" s="196"/>
      <c r="AP29" s="196"/>
      <c r="AQ29" s="196"/>
      <c r="AR29" s="196"/>
      <c r="AS29" s="196"/>
      <c r="AT29" s="196"/>
      <c r="AU29" s="196"/>
      <c r="AV29" s="196"/>
      <c r="AW29" s="196"/>
      <c r="AX29" s="196"/>
      <c r="AY29" s="196"/>
      <c r="AZ29" s="196"/>
      <c r="BA29" s="196"/>
      <c r="BB29" s="196"/>
      <c r="BC29" s="196"/>
      <c r="BD29" s="196">
        <f t="shared" si="0"/>
        <v>0</v>
      </c>
      <c r="BE29" s="596" t="e">
        <f t="shared" ref="BE29" si="12">BD30/BD29</f>
        <v>#DIV/0!</v>
      </c>
      <c r="BF29" s="146"/>
      <c r="BG29" s="146"/>
      <c r="BH29" s="146"/>
      <c r="BI29" s="146"/>
      <c r="BJ29" s="146"/>
      <c r="BK29" s="146"/>
      <c r="BL29" s="146"/>
      <c r="BM29" s="146"/>
      <c r="BN29" s="146"/>
      <c r="BO29" s="146"/>
      <c r="BP29" s="146"/>
      <c r="BQ29" s="146"/>
    </row>
    <row r="30" spans="1:69" ht="15" customHeight="1" x14ac:dyDescent="0.25">
      <c r="A30" s="619"/>
      <c r="B30" s="620"/>
      <c r="C30" s="595"/>
      <c r="D30" s="595"/>
      <c r="E30" s="593"/>
      <c r="F30" s="191" t="s">
        <v>11</v>
      </c>
      <c r="G30" s="589"/>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f t="shared" si="0"/>
        <v>0</v>
      </c>
      <c r="BE30" s="597"/>
      <c r="BF30" s="146"/>
      <c r="BG30" s="146"/>
      <c r="BH30" s="146"/>
      <c r="BI30" s="146"/>
      <c r="BJ30" s="146"/>
      <c r="BK30" s="146"/>
      <c r="BL30" s="146"/>
      <c r="BM30" s="146"/>
      <c r="BN30" s="146"/>
      <c r="BO30" s="146"/>
      <c r="BP30" s="146"/>
      <c r="BQ30" s="146"/>
    </row>
    <row r="31" spans="1:69" ht="15" customHeight="1" x14ac:dyDescent="0.25">
      <c r="A31" s="619"/>
      <c r="B31" s="620"/>
      <c r="C31" s="594"/>
      <c r="D31" s="594"/>
      <c r="E31" s="592"/>
      <c r="F31" s="190" t="s">
        <v>12</v>
      </c>
      <c r="G31" s="588"/>
      <c r="H31" s="196"/>
      <c r="I31" s="196"/>
      <c r="J31" s="196"/>
      <c r="K31" s="196"/>
      <c r="L31" s="196"/>
      <c r="M31" s="196"/>
      <c r="N31" s="196"/>
      <c r="O31" s="196"/>
      <c r="P31" s="196"/>
      <c r="Q31" s="196"/>
      <c r="R31" s="196"/>
      <c r="S31" s="196"/>
      <c r="T31" s="196"/>
      <c r="U31" s="196"/>
      <c r="V31" s="196"/>
      <c r="W31" s="196"/>
      <c r="X31" s="196"/>
      <c r="Y31" s="196"/>
      <c r="Z31" s="196"/>
      <c r="AA31" s="196"/>
      <c r="AB31" s="196"/>
      <c r="AC31" s="196"/>
      <c r="AD31" s="196"/>
      <c r="AE31" s="196"/>
      <c r="AF31" s="196"/>
      <c r="AG31" s="196"/>
      <c r="AH31" s="196"/>
      <c r="AI31" s="196"/>
      <c r="AJ31" s="196"/>
      <c r="AK31" s="196"/>
      <c r="AL31" s="196"/>
      <c r="AM31" s="196"/>
      <c r="AN31" s="196"/>
      <c r="AO31" s="196"/>
      <c r="AP31" s="196"/>
      <c r="AQ31" s="196"/>
      <c r="AR31" s="196"/>
      <c r="AS31" s="196"/>
      <c r="AT31" s="196"/>
      <c r="AU31" s="196"/>
      <c r="AV31" s="196"/>
      <c r="AW31" s="196"/>
      <c r="AX31" s="196"/>
      <c r="AY31" s="196"/>
      <c r="AZ31" s="196"/>
      <c r="BA31" s="196"/>
      <c r="BB31" s="196"/>
      <c r="BC31" s="196"/>
      <c r="BD31" s="196">
        <f t="shared" si="0"/>
        <v>0</v>
      </c>
      <c r="BE31" s="596" t="e">
        <f t="shared" ref="BE31" si="13">BD32/BD31</f>
        <v>#DIV/0!</v>
      </c>
      <c r="BF31" s="146"/>
      <c r="BG31" s="146"/>
      <c r="BH31" s="146"/>
      <c r="BI31" s="146"/>
      <c r="BJ31" s="146"/>
      <c r="BK31" s="146"/>
      <c r="BL31" s="146"/>
      <c r="BM31" s="146"/>
      <c r="BN31" s="146"/>
      <c r="BO31" s="146"/>
      <c r="BP31" s="146"/>
      <c r="BQ31" s="146"/>
    </row>
    <row r="32" spans="1:69" ht="17.25" customHeight="1" x14ac:dyDescent="0.25">
      <c r="A32" s="619"/>
      <c r="B32" s="620"/>
      <c r="C32" s="595"/>
      <c r="D32" s="595"/>
      <c r="E32" s="593"/>
      <c r="F32" s="191" t="s">
        <v>11</v>
      </c>
      <c r="G32" s="589"/>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f t="shared" si="0"/>
        <v>0</v>
      </c>
      <c r="BE32" s="597"/>
      <c r="BF32" s="158"/>
      <c r="BG32" s="146"/>
      <c r="BH32" s="605"/>
      <c r="BI32" s="606"/>
      <c r="BJ32" s="146"/>
      <c r="BK32" s="146"/>
      <c r="BL32" s="146"/>
      <c r="BM32" s="146"/>
      <c r="BN32" s="146"/>
      <c r="BO32" s="146"/>
      <c r="BP32" s="146"/>
      <c r="BQ32" s="146"/>
    </row>
    <row r="33" spans="1:69" ht="15" customHeight="1" x14ac:dyDescent="0.25">
      <c r="A33" s="619"/>
      <c r="B33" s="620"/>
      <c r="C33" s="594"/>
      <c r="D33" s="594"/>
      <c r="E33" s="592"/>
      <c r="F33" s="190" t="s">
        <v>12</v>
      </c>
      <c r="G33" s="588"/>
      <c r="H33" s="196"/>
      <c r="I33" s="196"/>
      <c r="J33" s="196"/>
      <c r="K33" s="196"/>
      <c r="L33" s="196"/>
      <c r="M33" s="196"/>
      <c r="N33" s="196"/>
      <c r="O33" s="196"/>
      <c r="P33" s="196"/>
      <c r="Q33" s="196"/>
      <c r="R33" s="196"/>
      <c r="S33" s="196"/>
      <c r="T33" s="196"/>
      <c r="U33" s="196"/>
      <c r="V33" s="196"/>
      <c r="W33" s="196"/>
      <c r="X33" s="196"/>
      <c r="Y33" s="196"/>
      <c r="Z33" s="196"/>
      <c r="AA33" s="196"/>
      <c r="AB33" s="196"/>
      <c r="AC33" s="196"/>
      <c r="AD33" s="196"/>
      <c r="AE33" s="196"/>
      <c r="AF33" s="196"/>
      <c r="AG33" s="196"/>
      <c r="AH33" s="196"/>
      <c r="AI33" s="196"/>
      <c r="AJ33" s="196"/>
      <c r="AK33" s="196"/>
      <c r="AL33" s="196"/>
      <c r="AM33" s="196"/>
      <c r="AN33" s="196"/>
      <c r="AO33" s="196"/>
      <c r="AP33" s="196"/>
      <c r="AQ33" s="196"/>
      <c r="AR33" s="196"/>
      <c r="AS33" s="196"/>
      <c r="AT33" s="196"/>
      <c r="AU33" s="196"/>
      <c r="AV33" s="196"/>
      <c r="AW33" s="196"/>
      <c r="AX33" s="196"/>
      <c r="AY33" s="196"/>
      <c r="AZ33" s="196"/>
      <c r="BA33" s="196"/>
      <c r="BB33" s="196"/>
      <c r="BC33" s="196"/>
      <c r="BD33" s="196">
        <f t="shared" si="0"/>
        <v>0</v>
      </c>
      <c r="BE33" s="596" t="e">
        <f t="shared" ref="BE33" si="14">BD34/BD33</f>
        <v>#DIV/0!</v>
      </c>
      <c r="BF33" s="146"/>
      <c r="BG33" s="146"/>
      <c r="BH33" s="146"/>
      <c r="BI33" s="146"/>
      <c r="BJ33" s="146"/>
      <c r="BK33" s="146"/>
      <c r="BL33" s="146"/>
      <c r="BM33" s="146"/>
      <c r="BN33" s="146"/>
      <c r="BO33" s="146"/>
      <c r="BP33" s="146"/>
      <c r="BQ33" s="146"/>
    </row>
    <row r="34" spans="1:69" ht="15" customHeight="1" x14ac:dyDescent="0.25">
      <c r="A34" s="619"/>
      <c r="B34" s="620"/>
      <c r="C34" s="595"/>
      <c r="D34" s="595"/>
      <c r="E34" s="593"/>
      <c r="F34" s="191" t="s">
        <v>11</v>
      </c>
      <c r="G34" s="589"/>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f t="shared" si="0"/>
        <v>0</v>
      </c>
      <c r="BE34" s="597"/>
      <c r="BF34" s="146"/>
      <c r="BG34" s="146"/>
      <c r="BH34" s="146"/>
      <c r="BI34" s="146"/>
      <c r="BJ34" s="146"/>
      <c r="BK34" s="146"/>
      <c r="BL34" s="146"/>
      <c r="BM34" s="146"/>
      <c r="BN34" s="146"/>
      <c r="BO34" s="146"/>
      <c r="BP34" s="146"/>
      <c r="BQ34" s="146"/>
    </row>
    <row r="35" spans="1:69" ht="15" customHeight="1" x14ac:dyDescent="0.25">
      <c r="A35" s="619"/>
      <c r="B35" s="620"/>
      <c r="C35" s="594"/>
      <c r="D35" s="594"/>
      <c r="E35" s="592"/>
      <c r="F35" s="190" t="s">
        <v>12</v>
      </c>
      <c r="G35" s="588"/>
      <c r="H35" s="196"/>
      <c r="I35" s="196"/>
      <c r="J35" s="196"/>
      <c r="K35" s="196"/>
      <c r="L35" s="196"/>
      <c r="M35" s="196"/>
      <c r="N35" s="196"/>
      <c r="O35" s="196"/>
      <c r="P35" s="196"/>
      <c r="Q35" s="196"/>
      <c r="R35" s="196"/>
      <c r="S35" s="196"/>
      <c r="T35" s="196"/>
      <c r="U35" s="196"/>
      <c r="V35" s="196"/>
      <c r="W35" s="196"/>
      <c r="X35" s="196"/>
      <c r="Y35" s="196"/>
      <c r="Z35" s="196"/>
      <c r="AA35" s="196"/>
      <c r="AB35" s="196"/>
      <c r="AC35" s="196"/>
      <c r="AD35" s="196"/>
      <c r="AE35" s="196"/>
      <c r="AF35" s="196"/>
      <c r="AG35" s="196"/>
      <c r="AH35" s="196"/>
      <c r="AI35" s="196"/>
      <c r="AJ35" s="196"/>
      <c r="AK35" s="196"/>
      <c r="AL35" s="196"/>
      <c r="AM35" s="196"/>
      <c r="AN35" s="196"/>
      <c r="AO35" s="196"/>
      <c r="AP35" s="196"/>
      <c r="AQ35" s="196"/>
      <c r="AR35" s="196"/>
      <c r="AS35" s="196"/>
      <c r="AT35" s="196"/>
      <c r="AU35" s="196"/>
      <c r="AV35" s="196"/>
      <c r="AW35" s="196"/>
      <c r="AX35" s="196"/>
      <c r="AY35" s="196"/>
      <c r="AZ35" s="196"/>
      <c r="BA35" s="196"/>
      <c r="BB35" s="196"/>
      <c r="BC35" s="196"/>
      <c r="BD35" s="196">
        <f t="shared" si="0"/>
        <v>0</v>
      </c>
      <c r="BE35" s="596" t="e">
        <f t="shared" ref="BE35" si="15">BD36/BD35</f>
        <v>#DIV/0!</v>
      </c>
      <c r="BF35" s="146"/>
      <c r="BG35" s="146"/>
      <c r="BH35" s="146"/>
      <c r="BI35" s="146"/>
      <c r="BJ35" s="146"/>
      <c r="BK35" s="146"/>
      <c r="BL35" s="146"/>
      <c r="BM35" s="146"/>
      <c r="BN35" s="146"/>
      <c r="BO35" s="146"/>
      <c r="BP35" s="146"/>
      <c r="BQ35" s="146"/>
    </row>
    <row r="36" spans="1:69" ht="15" customHeight="1" x14ac:dyDescent="0.25">
      <c r="A36" s="619"/>
      <c r="B36" s="620"/>
      <c r="C36" s="595"/>
      <c r="D36" s="595"/>
      <c r="E36" s="593"/>
      <c r="F36" s="191" t="s">
        <v>11</v>
      </c>
      <c r="G36" s="589"/>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f t="shared" si="0"/>
        <v>0</v>
      </c>
      <c r="BE36" s="597"/>
      <c r="BF36" s="146"/>
      <c r="BG36" s="146"/>
      <c r="BH36" s="146"/>
      <c r="BI36" s="146"/>
      <c r="BJ36" s="146"/>
      <c r="BK36" s="146"/>
      <c r="BL36" s="146"/>
      <c r="BM36" s="146"/>
      <c r="BN36" s="146"/>
      <c r="BO36" s="146"/>
      <c r="BP36" s="146"/>
      <c r="BQ36" s="146"/>
    </row>
    <row r="37" spans="1:69" ht="15" customHeight="1" x14ac:dyDescent="0.25">
      <c r="A37" s="619"/>
      <c r="B37" s="620"/>
      <c r="C37" s="594"/>
      <c r="D37" s="594"/>
      <c r="E37" s="614"/>
      <c r="F37" s="190" t="s">
        <v>12</v>
      </c>
      <c r="G37" s="588"/>
      <c r="H37" s="196"/>
      <c r="I37" s="196"/>
      <c r="J37" s="196"/>
      <c r="K37" s="196"/>
      <c r="L37" s="196"/>
      <c r="M37" s="196"/>
      <c r="N37" s="196"/>
      <c r="O37" s="196"/>
      <c r="P37" s="196"/>
      <c r="Q37" s="196"/>
      <c r="R37" s="196"/>
      <c r="S37" s="196"/>
      <c r="T37" s="196"/>
      <c r="U37" s="196"/>
      <c r="V37" s="196"/>
      <c r="W37" s="196"/>
      <c r="X37" s="196"/>
      <c r="Y37" s="196"/>
      <c r="Z37" s="196"/>
      <c r="AA37" s="196"/>
      <c r="AB37" s="196"/>
      <c r="AC37" s="196"/>
      <c r="AD37" s="196"/>
      <c r="AE37" s="196"/>
      <c r="AF37" s="196"/>
      <c r="AG37" s="196"/>
      <c r="AH37" s="196"/>
      <c r="AI37" s="196"/>
      <c r="AJ37" s="196"/>
      <c r="AK37" s="196"/>
      <c r="AL37" s="196"/>
      <c r="AM37" s="196"/>
      <c r="AN37" s="196"/>
      <c r="AO37" s="196"/>
      <c r="AP37" s="196"/>
      <c r="AQ37" s="196"/>
      <c r="AR37" s="196"/>
      <c r="AS37" s="196"/>
      <c r="AT37" s="196"/>
      <c r="AU37" s="196"/>
      <c r="AV37" s="196"/>
      <c r="AW37" s="196"/>
      <c r="AX37" s="196"/>
      <c r="AY37" s="196"/>
      <c r="AZ37" s="196"/>
      <c r="BA37" s="196"/>
      <c r="BB37" s="196"/>
      <c r="BC37" s="196"/>
      <c r="BD37" s="196">
        <f t="shared" si="0"/>
        <v>0</v>
      </c>
      <c r="BE37" s="596" t="e">
        <f t="shared" ref="BE37" si="16">BD38/BD37</f>
        <v>#DIV/0!</v>
      </c>
      <c r="BF37" s="146"/>
      <c r="BG37" s="146"/>
      <c r="BH37" s="146"/>
      <c r="BI37" s="146"/>
      <c r="BJ37" s="146"/>
      <c r="BK37" s="146"/>
      <c r="BL37" s="146"/>
      <c r="BM37" s="146"/>
      <c r="BN37" s="146"/>
      <c r="BO37" s="146"/>
      <c r="BP37" s="146"/>
      <c r="BQ37" s="146"/>
    </row>
    <row r="38" spans="1:69" ht="15" customHeight="1" x14ac:dyDescent="0.25">
      <c r="A38" s="619"/>
      <c r="B38" s="620"/>
      <c r="C38" s="595"/>
      <c r="D38" s="595"/>
      <c r="E38" s="615"/>
      <c r="F38" s="191" t="s">
        <v>11</v>
      </c>
      <c r="G38" s="589"/>
      <c r="H38" s="57"/>
      <c r="I38" s="57"/>
      <c r="J38" s="57"/>
      <c r="K38" s="57"/>
      <c r="L38" s="57"/>
      <c r="M38" s="57"/>
      <c r="N38" s="57"/>
      <c r="O38" s="57"/>
      <c r="P38" s="57"/>
      <c r="Q38" s="57"/>
      <c r="R38" s="57"/>
      <c r="S38" s="57"/>
      <c r="T38" s="57"/>
      <c r="U38" s="57"/>
      <c r="V38" s="57"/>
      <c r="W38" s="57"/>
      <c r="X38" s="57"/>
      <c r="Y38" s="57"/>
      <c r="Z38" s="57"/>
      <c r="AA38" s="57"/>
      <c r="AB38" s="57"/>
      <c r="AC38" s="57"/>
      <c r="AD38" s="57"/>
      <c r="AE38" s="57"/>
      <c r="AF38" s="57"/>
      <c r="AG38" s="57"/>
      <c r="AH38" s="57"/>
      <c r="AI38" s="57"/>
      <c r="AJ38" s="57"/>
      <c r="AK38" s="57"/>
      <c r="AL38" s="57"/>
      <c r="AM38" s="57"/>
      <c r="AN38" s="57"/>
      <c r="AO38" s="57"/>
      <c r="AP38" s="57"/>
      <c r="AQ38" s="57"/>
      <c r="AR38" s="57"/>
      <c r="AS38" s="57"/>
      <c r="AT38" s="57"/>
      <c r="AU38" s="57"/>
      <c r="AV38" s="57"/>
      <c r="AW38" s="57"/>
      <c r="AX38" s="57"/>
      <c r="AY38" s="57"/>
      <c r="AZ38" s="57"/>
      <c r="BA38" s="57"/>
      <c r="BB38" s="57"/>
      <c r="BC38" s="57"/>
      <c r="BD38" s="57">
        <f t="shared" si="0"/>
        <v>0</v>
      </c>
      <c r="BE38" s="597"/>
      <c r="BF38" s="146"/>
      <c r="BG38" s="146"/>
      <c r="BH38" s="146"/>
      <c r="BI38" s="146"/>
      <c r="BJ38" s="146"/>
      <c r="BK38" s="146"/>
      <c r="BL38" s="146"/>
      <c r="BM38" s="146"/>
      <c r="BN38" s="146"/>
      <c r="BO38" s="146"/>
      <c r="BP38" s="146"/>
      <c r="BQ38" s="146"/>
    </row>
    <row r="39" spans="1:69" ht="15" customHeight="1" x14ac:dyDescent="0.25">
      <c r="A39" s="619"/>
      <c r="B39" s="620"/>
      <c r="C39" s="594"/>
      <c r="D39" s="594"/>
      <c r="E39" s="592"/>
      <c r="F39" s="190" t="s">
        <v>12</v>
      </c>
      <c r="G39" s="588"/>
      <c r="H39" s="196"/>
      <c r="I39" s="196"/>
      <c r="J39" s="196"/>
      <c r="K39" s="196"/>
      <c r="L39" s="196"/>
      <c r="M39" s="196"/>
      <c r="N39" s="196"/>
      <c r="O39" s="196"/>
      <c r="P39" s="196"/>
      <c r="Q39" s="196"/>
      <c r="R39" s="196"/>
      <c r="S39" s="196"/>
      <c r="T39" s="196"/>
      <c r="U39" s="196"/>
      <c r="V39" s="196"/>
      <c r="W39" s="196"/>
      <c r="X39" s="196"/>
      <c r="Y39" s="196"/>
      <c r="Z39" s="196"/>
      <c r="AA39" s="196"/>
      <c r="AB39" s="196"/>
      <c r="AC39" s="196"/>
      <c r="AD39" s="196"/>
      <c r="AE39" s="196"/>
      <c r="AF39" s="196"/>
      <c r="AG39" s="196"/>
      <c r="AH39" s="196"/>
      <c r="AI39" s="196"/>
      <c r="AJ39" s="196"/>
      <c r="AK39" s="196"/>
      <c r="AL39" s="196"/>
      <c r="AM39" s="196"/>
      <c r="AN39" s="196"/>
      <c r="AO39" s="196"/>
      <c r="AP39" s="196"/>
      <c r="AQ39" s="196"/>
      <c r="AR39" s="196"/>
      <c r="AS39" s="196"/>
      <c r="AT39" s="196"/>
      <c r="AU39" s="196"/>
      <c r="AV39" s="196"/>
      <c r="AW39" s="196"/>
      <c r="AX39" s="196"/>
      <c r="AY39" s="196"/>
      <c r="AZ39" s="196"/>
      <c r="BA39" s="196"/>
      <c r="BB39" s="196"/>
      <c r="BC39" s="196"/>
      <c r="BD39" s="196">
        <f t="shared" si="0"/>
        <v>0</v>
      </c>
      <c r="BE39" s="596" t="e">
        <f t="shared" ref="BE39" si="17">BD40/BD39</f>
        <v>#DIV/0!</v>
      </c>
      <c r="BF39" s="146"/>
      <c r="BG39" s="146"/>
      <c r="BH39" s="146"/>
      <c r="BI39" s="146"/>
      <c r="BJ39" s="146"/>
      <c r="BK39" s="146"/>
      <c r="BL39" s="146"/>
      <c r="BM39" s="146"/>
      <c r="BN39" s="146"/>
      <c r="BO39" s="146"/>
      <c r="BP39" s="146"/>
      <c r="BQ39" s="146"/>
    </row>
    <row r="40" spans="1:69" ht="15" customHeight="1" x14ac:dyDescent="0.25">
      <c r="A40" s="619"/>
      <c r="B40" s="620"/>
      <c r="C40" s="595"/>
      <c r="D40" s="595"/>
      <c r="E40" s="593"/>
      <c r="F40" s="191" t="s">
        <v>11</v>
      </c>
      <c r="G40" s="589"/>
      <c r="H40" s="57"/>
      <c r="I40" s="57"/>
      <c r="J40" s="57"/>
      <c r="K40" s="57"/>
      <c r="L40" s="57"/>
      <c r="M40" s="57"/>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c r="AM40" s="57"/>
      <c r="AN40" s="57"/>
      <c r="AO40" s="57"/>
      <c r="AP40" s="57"/>
      <c r="AQ40" s="57"/>
      <c r="AR40" s="57"/>
      <c r="AS40" s="57"/>
      <c r="AT40" s="57"/>
      <c r="AU40" s="57"/>
      <c r="AV40" s="57"/>
      <c r="AW40" s="57"/>
      <c r="AX40" s="57"/>
      <c r="AY40" s="57"/>
      <c r="AZ40" s="57"/>
      <c r="BA40" s="57"/>
      <c r="BB40" s="57"/>
      <c r="BC40" s="57"/>
      <c r="BD40" s="57">
        <f t="shared" si="0"/>
        <v>0</v>
      </c>
      <c r="BE40" s="597"/>
      <c r="BF40" s="146"/>
      <c r="BG40" s="146"/>
      <c r="BH40" s="146"/>
      <c r="BI40" s="146"/>
      <c r="BJ40" s="146"/>
      <c r="BK40" s="146"/>
      <c r="BL40" s="146"/>
      <c r="BM40" s="146"/>
      <c r="BN40" s="146"/>
      <c r="BO40" s="146"/>
      <c r="BP40" s="146"/>
      <c r="BQ40" s="146"/>
    </row>
    <row r="41" spans="1:69" ht="15" customHeight="1" x14ac:dyDescent="0.25">
      <c r="A41" s="619"/>
      <c r="B41" s="620"/>
      <c r="C41" s="594"/>
      <c r="D41" s="594"/>
      <c r="E41" s="592"/>
      <c r="F41" s="190" t="s">
        <v>12</v>
      </c>
      <c r="G41" s="588"/>
      <c r="H41" s="196"/>
      <c r="I41" s="196"/>
      <c r="J41" s="196"/>
      <c r="K41" s="196"/>
      <c r="L41" s="196"/>
      <c r="M41" s="196"/>
      <c r="N41" s="196"/>
      <c r="O41" s="196"/>
      <c r="P41" s="196"/>
      <c r="Q41" s="196"/>
      <c r="R41" s="196"/>
      <c r="S41" s="196"/>
      <c r="T41" s="196"/>
      <c r="U41" s="196"/>
      <c r="V41" s="196"/>
      <c r="W41" s="196"/>
      <c r="X41" s="196"/>
      <c r="Y41" s="196"/>
      <c r="Z41" s="196"/>
      <c r="AA41" s="196"/>
      <c r="AB41" s="196"/>
      <c r="AC41" s="196"/>
      <c r="AD41" s="196"/>
      <c r="AE41" s="196"/>
      <c r="AF41" s="196"/>
      <c r="AG41" s="196"/>
      <c r="AH41" s="196"/>
      <c r="AI41" s="196"/>
      <c r="AJ41" s="196"/>
      <c r="AK41" s="196"/>
      <c r="AL41" s="196"/>
      <c r="AM41" s="196"/>
      <c r="AN41" s="196"/>
      <c r="AO41" s="196"/>
      <c r="AP41" s="196"/>
      <c r="AQ41" s="196"/>
      <c r="AR41" s="196"/>
      <c r="AS41" s="196"/>
      <c r="AT41" s="196"/>
      <c r="AU41" s="196"/>
      <c r="AV41" s="196"/>
      <c r="AW41" s="196"/>
      <c r="AX41" s="196"/>
      <c r="AY41" s="196"/>
      <c r="AZ41" s="196"/>
      <c r="BA41" s="196"/>
      <c r="BB41" s="196"/>
      <c r="BC41" s="196"/>
      <c r="BD41" s="196">
        <f t="shared" si="0"/>
        <v>0</v>
      </c>
      <c r="BE41" s="596" t="e">
        <f t="shared" ref="BE41" si="18">BD42/BD41</f>
        <v>#DIV/0!</v>
      </c>
      <c r="BF41" s="146"/>
      <c r="BG41" s="146"/>
      <c r="BH41" s="146"/>
      <c r="BI41" s="146"/>
      <c r="BJ41" s="146"/>
      <c r="BK41" s="146"/>
      <c r="BL41" s="146"/>
      <c r="BM41" s="146"/>
      <c r="BN41" s="146"/>
      <c r="BO41" s="146"/>
      <c r="BP41" s="146"/>
      <c r="BQ41" s="146"/>
    </row>
    <row r="42" spans="1:69" ht="15" customHeight="1" x14ac:dyDescent="0.25">
      <c r="A42" s="619"/>
      <c r="B42" s="620"/>
      <c r="C42" s="595"/>
      <c r="D42" s="595"/>
      <c r="E42" s="593"/>
      <c r="F42" s="191" t="s">
        <v>11</v>
      </c>
      <c r="G42" s="589"/>
      <c r="H42" s="57"/>
      <c r="I42" s="57"/>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7"/>
      <c r="AI42" s="57"/>
      <c r="AJ42" s="57"/>
      <c r="AK42" s="57"/>
      <c r="AL42" s="57"/>
      <c r="AM42" s="57"/>
      <c r="AN42" s="57"/>
      <c r="AO42" s="57"/>
      <c r="AP42" s="57"/>
      <c r="AQ42" s="57"/>
      <c r="AR42" s="57"/>
      <c r="AS42" s="57"/>
      <c r="AT42" s="57"/>
      <c r="AU42" s="57"/>
      <c r="AV42" s="57"/>
      <c r="AW42" s="57"/>
      <c r="AX42" s="57"/>
      <c r="AY42" s="57"/>
      <c r="AZ42" s="57"/>
      <c r="BA42" s="57"/>
      <c r="BB42" s="57"/>
      <c r="BC42" s="57"/>
      <c r="BD42" s="57">
        <f t="shared" si="0"/>
        <v>0</v>
      </c>
      <c r="BE42" s="597"/>
      <c r="BF42" s="146"/>
      <c r="BG42" s="146"/>
      <c r="BH42" s="158"/>
      <c r="BI42" s="146"/>
      <c r="BJ42" s="146"/>
      <c r="BK42" s="146"/>
      <c r="BL42" s="146"/>
      <c r="BM42" s="146"/>
      <c r="BN42" s="146"/>
      <c r="BO42" s="146"/>
      <c r="BP42" s="146"/>
      <c r="BQ42" s="146"/>
    </row>
    <row r="43" spans="1:69" ht="15" customHeight="1" x14ac:dyDescent="0.25">
      <c r="A43" s="619"/>
      <c r="B43" s="620"/>
      <c r="C43" s="594"/>
      <c r="D43" s="594"/>
      <c r="E43" s="612"/>
      <c r="F43" s="190" t="s">
        <v>12</v>
      </c>
      <c r="G43" s="588"/>
      <c r="H43" s="196"/>
      <c r="I43" s="196"/>
      <c r="J43" s="196"/>
      <c r="K43" s="196"/>
      <c r="L43" s="196"/>
      <c r="M43" s="196"/>
      <c r="N43" s="196"/>
      <c r="O43" s="196"/>
      <c r="P43" s="196"/>
      <c r="Q43" s="196"/>
      <c r="R43" s="196"/>
      <c r="S43" s="196"/>
      <c r="T43" s="196"/>
      <c r="U43" s="196"/>
      <c r="V43" s="196"/>
      <c r="W43" s="196"/>
      <c r="X43" s="196"/>
      <c r="Y43" s="196"/>
      <c r="Z43" s="196"/>
      <c r="AA43" s="196"/>
      <c r="AB43" s="196"/>
      <c r="AC43" s="196"/>
      <c r="AD43" s="196"/>
      <c r="AE43" s="196"/>
      <c r="AF43" s="196"/>
      <c r="AG43" s="196"/>
      <c r="AH43" s="196"/>
      <c r="AI43" s="196"/>
      <c r="AJ43" s="196"/>
      <c r="AK43" s="196"/>
      <c r="AL43" s="196"/>
      <c r="AM43" s="196"/>
      <c r="AN43" s="196"/>
      <c r="AO43" s="196"/>
      <c r="AP43" s="196"/>
      <c r="AQ43" s="196"/>
      <c r="AR43" s="196"/>
      <c r="AS43" s="196"/>
      <c r="AT43" s="196"/>
      <c r="AU43" s="196"/>
      <c r="AV43" s="196"/>
      <c r="AW43" s="196"/>
      <c r="AX43" s="196"/>
      <c r="AY43" s="196"/>
      <c r="AZ43" s="196"/>
      <c r="BA43" s="196"/>
      <c r="BB43" s="196"/>
      <c r="BC43" s="196"/>
      <c r="BD43" s="196">
        <f t="shared" si="0"/>
        <v>0</v>
      </c>
      <c r="BE43" s="596" t="e">
        <f t="shared" ref="BE43" si="19">BD44/BD43</f>
        <v>#DIV/0!</v>
      </c>
      <c r="BF43" s="146"/>
      <c r="BG43" s="146"/>
      <c r="BH43" s="146"/>
      <c r="BI43" s="146"/>
      <c r="BJ43" s="146"/>
      <c r="BK43" s="146"/>
      <c r="BL43" s="146"/>
      <c r="BM43" s="146"/>
      <c r="BN43" s="146"/>
      <c r="BO43" s="146"/>
      <c r="BP43" s="146"/>
      <c r="BQ43" s="146"/>
    </row>
    <row r="44" spans="1:69" ht="15" customHeight="1" x14ac:dyDescent="0.25">
      <c r="A44" s="619"/>
      <c r="B44" s="620"/>
      <c r="C44" s="595"/>
      <c r="D44" s="595"/>
      <c r="E44" s="613"/>
      <c r="F44" s="191" t="s">
        <v>11</v>
      </c>
      <c r="G44" s="589"/>
      <c r="H44" s="57"/>
      <c r="I44" s="57"/>
      <c r="J44" s="57"/>
      <c r="K44" s="57"/>
      <c r="L44" s="57"/>
      <c r="M44" s="57"/>
      <c r="N44" s="57"/>
      <c r="O44" s="57"/>
      <c r="P44" s="57"/>
      <c r="Q44" s="57"/>
      <c r="R44" s="57"/>
      <c r="S44" s="57"/>
      <c r="T44" s="57"/>
      <c r="U44" s="57"/>
      <c r="V44" s="57"/>
      <c r="W44" s="57"/>
      <c r="X44" s="57"/>
      <c r="Y44" s="57"/>
      <c r="Z44" s="57"/>
      <c r="AA44" s="57"/>
      <c r="AB44" s="57"/>
      <c r="AC44" s="57"/>
      <c r="AD44" s="57"/>
      <c r="AE44" s="57"/>
      <c r="AF44" s="57"/>
      <c r="AG44" s="57"/>
      <c r="AH44" s="57"/>
      <c r="AI44" s="57"/>
      <c r="AJ44" s="57"/>
      <c r="AK44" s="57"/>
      <c r="AL44" s="57"/>
      <c r="AM44" s="57"/>
      <c r="AN44" s="57"/>
      <c r="AO44" s="57"/>
      <c r="AP44" s="57"/>
      <c r="AQ44" s="57"/>
      <c r="AR44" s="57"/>
      <c r="AS44" s="57"/>
      <c r="AT44" s="57"/>
      <c r="AU44" s="57"/>
      <c r="AV44" s="57"/>
      <c r="AW44" s="57"/>
      <c r="AX44" s="57"/>
      <c r="AY44" s="57"/>
      <c r="AZ44" s="57"/>
      <c r="BA44" s="57"/>
      <c r="BB44" s="57"/>
      <c r="BC44" s="57"/>
      <c r="BD44" s="57">
        <f t="shared" si="0"/>
        <v>0</v>
      </c>
      <c r="BE44" s="597"/>
      <c r="BF44" s="146"/>
      <c r="BG44" s="146"/>
      <c r="BH44" s="146"/>
      <c r="BI44" s="146"/>
      <c r="BJ44" s="146"/>
      <c r="BK44" s="146"/>
      <c r="BL44" s="146"/>
      <c r="BM44" s="146"/>
      <c r="BN44" s="146"/>
      <c r="BO44" s="146"/>
      <c r="BP44" s="146"/>
      <c r="BQ44" s="146"/>
    </row>
    <row r="45" spans="1:69" ht="15" customHeight="1" x14ac:dyDescent="0.25">
      <c r="A45" s="619"/>
      <c r="B45" s="620"/>
      <c r="C45" s="594"/>
      <c r="D45" s="594"/>
      <c r="E45" s="592"/>
      <c r="F45" s="190" t="s">
        <v>12</v>
      </c>
      <c r="G45" s="588"/>
      <c r="H45" s="196"/>
      <c r="I45" s="196"/>
      <c r="J45" s="196"/>
      <c r="K45" s="196"/>
      <c r="L45" s="196"/>
      <c r="M45" s="196"/>
      <c r="N45" s="196"/>
      <c r="O45" s="196"/>
      <c r="P45" s="196"/>
      <c r="Q45" s="196"/>
      <c r="R45" s="196"/>
      <c r="S45" s="196"/>
      <c r="T45" s="196"/>
      <c r="U45" s="196"/>
      <c r="V45" s="196"/>
      <c r="W45" s="196"/>
      <c r="X45" s="196"/>
      <c r="Y45" s="196"/>
      <c r="Z45" s="196"/>
      <c r="AA45" s="196"/>
      <c r="AB45" s="196"/>
      <c r="AC45" s="196"/>
      <c r="AD45" s="196"/>
      <c r="AE45" s="196"/>
      <c r="AF45" s="196"/>
      <c r="AG45" s="196"/>
      <c r="AH45" s="196"/>
      <c r="AI45" s="196"/>
      <c r="AJ45" s="196"/>
      <c r="AK45" s="196"/>
      <c r="AL45" s="196"/>
      <c r="AM45" s="196"/>
      <c r="AN45" s="196"/>
      <c r="AO45" s="196"/>
      <c r="AP45" s="196"/>
      <c r="AQ45" s="196"/>
      <c r="AR45" s="196"/>
      <c r="AS45" s="196"/>
      <c r="AT45" s="196"/>
      <c r="AU45" s="196"/>
      <c r="AV45" s="196"/>
      <c r="AW45" s="196"/>
      <c r="AX45" s="196"/>
      <c r="AY45" s="196"/>
      <c r="AZ45" s="196"/>
      <c r="BA45" s="196"/>
      <c r="BB45" s="196"/>
      <c r="BC45" s="196"/>
      <c r="BD45" s="196">
        <f t="shared" si="0"/>
        <v>0</v>
      </c>
      <c r="BE45" s="596" t="e">
        <f t="shared" ref="BE45" si="20">BD46/BD45</f>
        <v>#DIV/0!</v>
      </c>
      <c r="BF45" s="146"/>
      <c r="BG45" s="146"/>
      <c r="BH45" s="146"/>
      <c r="BI45" s="146"/>
      <c r="BJ45" s="146"/>
      <c r="BK45" s="146"/>
      <c r="BL45" s="146"/>
      <c r="BM45" s="146"/>
      <c r="BN45" s="146"/>
      <c r="BO45" s="146"/>
      <c r="BP45" s="146"/>
      <c r="BQ45" s="146"/>
    </row>
    <row r="46" spans="1:69" ht="15" customHeight="1" x14ac:dyDescent="0.25">
      <c r="A46" s="619"/>
      <c r="B46" s="620"/>
      <c r="C46" s="595"/>
      <c r="D46" s="595"/>
      <c r="E46" s="593"/>
      <c r="F46" s="191" t="s">
        <v>11</v>
      </c>
      <c r="G46" s="589"/>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7"/>
      <c r="AI46" s="57"/>
      <c r="AJ46" s="57"/>
      <c r="AK46" s="57"/>
      <c r="AL46" s="57"/>
      <c r="AM46" s="57"/>
      <c r="AN46" s="57"/>
      <c r="AO46" s="57"/>
      <c r="AP46" s="57"/>
      <c r="AQ46" s="57"/>
      <c r="AR46" s="57"/>
      <c r="AS46" s="57"/>
      <c r="AT46" s="57"/>
      <c r="AU46" s="57"/>
      <c r="AV46" s="57"/>
      <c r="AW46" s="57"/>
      <c r="AX46" s="57"/>
      <c r="AY46" s="57"/>
      <c r="AZ46" s="57"/>
      <c r="BA46" s="57"/>
      <c r="BB46" s="57"/>
      <c r="BC46" s="57"/>
      <c r="BD46" s="57">
        <f t="shared" si="0"/>
        <v>0</v>
      </c>
      <c r="BE46" s="597"/>
      <c r="BF46" s="158"/>
      <c r="BG46" s="146"/>
      <c r="BH46" s="146"/>
      <c r="BI46" s="146"/>
      <c r="BJ46" s="146"/>
      <c r="BK46" s="146"/>
      <c r="BL46" s="146"/>
      <c r="BM46" s="146"/>
      <c r="BN46" s="146"/>
      <c r="BO46" s="146"/>
      <c r="BP46" s="146"/>
      <c r="BQ46" s="146"/>
    </row>
    <row r="47" spans="1:69" ht="15" customHeight="1" x14ac:dyDescent="0.25">
      <c r="A47" s="619"/>
      <c r="B47" s="620"/>
      <c r="C47" s="594"/>
      <c r="D47" s="594"/>
      <c r="E47" s="612"/>
      <c r="F47" s="190" t="s">
        <v>12</v>
      </c>
      <c r="G47" s="588"/>
      <c r="H47" s="196"/>
      <c r="I47" s="196"/>
      <c r="J47" s="196"/>
      <c r="K47" s="196"/>
      <c r="L47" s="196"/>
      <c r="M47" s="196"/>
      <c r="N47" s="196"/>
      <c r="O47" s="196"/>
      <c r="P47" s="196"/>
      <c r="Q47" s="196"/>
      <c r="R47" s="196"/>
      <c r="S47" s="196"/>
      <c r="T47" s="196"/>
      <c r="U47" s="196"/>
      <c r="V47" s="196"/>
      <c r="W47" s="196"/>
      <c r="X47" s="196"/>
      <c r="Y47" s="196"/>
      <c r="Z47" s="196"/>
      <c r="AA47" s="196"/>
      <c r="AB47" s="196"/>
      <c r="AC47" s="196"/>
      <c r="AD47" s="196"/>
      <c r="AE47" s="196"/>
      <c r="AF47" s="196"/>
      <c r="AG47" s="196"/>
      <c r="AH47" s="196"/>
      <c r="AI47" s="196"/>
      <c r="AJ47" s="196"/>
      <c r="AK47" s="196"/>
      <c r="AL47" s="196"/>
      <c r="AM47" s="196"/>
      <c r="AN47" s="196"/>
      <c r="AO47" s="196"/>
      <c r="AP47" s="196"/>
      <c r="AQ47" s="196"/>
      <c r="AR47" s="196"/>
      <c r="AS47" s="196"/>
      <c r="AT47" s="196"/>
      <c r="AU47" s="196"/>
      <c r="AV47" s="196"/>
      <c r="AW47" s="196"/>
      <c r="AX47" s="196"/>
      <c r="AY47" s="196"/>
      <c r="AZ47" s="196"/>
      <c r="BA47" s="196"/>
      <c r="BB47" s="196"/>
      <c r="BC47" s="196"/>
      <c r="BD47" s="196">
        <f t="shared" si="0"/>
        <v>0</v>
      </c>
      <c r="BE47" s="596" t="e">
        <f t="shared" ref="BE47" si="21">BD48/BD47</f>
        <v>#DIV/0!</v>
      </c>
      <c r="BF47" s="146"/>
      <c r="BG47" s="146"/>
      <c r="BH47" s="146"/>
      <c r="BI47" s="146"/>
      <c r="BJ47" s="146"/>
      <c r="BK47" s="146"/>
      <c r="BL47" s="146"/>
      <c r="BM47" s="146"/>
      <c r="BN47" s="146"/>
      <c r="BO47" s="146"/>
      <c r="BP47" s="146"/>
      <c r="BQ47" s="146"/>
    </row>
    <row r="48" spans="1:69" ht="15" customHeight="1" x14ac:dyDescent="0.25">
      <c r="A48" s="619"/>
      <c r="B48" s="620"/>
      <c r="C48" s="595"/>
      <c r="D48" s="595"/>
      <c r="E48" s="613"/>
      <c r="F48" s="191" t="s">
        <v>11</v>
      </c>
      <c r="G48" s="589"/>
      <c r="H48" s="57"/>
      <c r="I48" s="57"/>
      <c r="J48" s="57"/>
      <c r="K48" s="57"/>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7"/>
      <c r="AR48" s="57"/>
      <c r="AS48" s="57"/>
      <c r="AT48" s="57"/>
      <c r="AU48" s="57"/>
      <c r="AV48" s="57"/>
      <c r="AW48" s="57"/>
      <c r="AX48" s="57"/>
      <c r="AY48" s="57"/>
      <c r="AZ48" s="57"/>
      <c r="BA48" s="57"/>
      <c r="BB48" s="57"/>
      <c r="BC48" s="57"/>
      <c r="BD48" s="57">
        <f t="shared" si="0"/>
        <v>0</v>
      </c>
      <c r="BE48" s="597"/>
      <c r="BF48" s="146"/>
      <c r="BG48" s="146"/>
      <c r="BH48" s="146"/>
      <c r="BI48" s="146"/>
      <c r="BJ48" s="146"/>
      <c r="BK48" s="146"/>
      <c r="BL48" s="146"/>
      <c r="BM48" s="146"/>
      <c r="BN48" s="146"/>
      <c r="BO48" s="146"/>
      <c r="BP48" s="146"/>
      <c r="BQ48" s="146"/>
    </row>
    <row r="49" spans="1:69" ht="15" customHeight="1" x14ac:dyDescent="0.25">
      <c r="A49" s="619"/>
      <c r="B49" s="620"/>
      <c r="C49" s="594"/>
      <c r="D49" s="594"/>
      <c r="E49" s="612"/>
      <c r="F49" s="190" t="s">
        <v>12</v>
      </c>
      <c r="G49" s="588"/>
      <c r="H49" s="196"/>
      <c r="I49" s="196"/>
      <c r="J49" s="196"/>
      <c r="K49" s="196"/>
      <c r="L49" s="196"/>
      <c r="M49" s="196"/>
      <c r="N49" s="196"/>
      <c r="O49" s="196"/>
      <c r="P49" s="196"/>
      <c r="Q49" s="196"/>
      <c r="R49" s="196"/>
      <c r="S49" s="196"/>
      <c r="T49" s="196"/>
      <c r="U49" s="196"/>
      <c r="V49" s="196"/>
      <c r="W49" s="196"/>
      <c r="X49" s="196"/>
      <c r="Y49" s="196"/>
      <c r="Z49" s="196"/>
      <c r="AA49" s="196"/>
      <c r="AB49" s="196"/>
      <c r="AC49" s="196"/>
      <c r="AD49" s="196"/>
      <c r="AE49" s="196"/>
      <c r="AF49" s="196"/>
      <c r="AG49" s="196"/>
      <c r="AH49" s="196"/>
      <c r="AI49" s="196"/>
      <c r="AJ49" s="196"/>
      <c r="AK49" s="196"/>
      <c r="AL49" s="196"/>
      <c r="AM49" s="196"/>
      <c r="AN49" s="196"/>
      <c r="AO49" s="196"/>
      <c r="AP49" s="196"/>
      <c r="AQ49" s="196"/>
      <c r="AR49" s="196"/>
      <c r="AS49" s="196"/>
      <c r="AT49" s="196"/>
      <c r="AU49" s="196"/>
      <c r="AV49" s="196"/>
      <c r="AW49" s="196"/>
      <c r="AX49" s="196"/>
      <c r="AY49" s="196"/>
      <c r="AZ49" s="196"/>
      <c r="BA49" s="196"/>
      <c r="BB49" s="196"/>
      <c r="BC49" s="196"/>
      <c r="BD49" s="196">
        <f t="shared" si="0"/>
        <v>0</v>
      </c>
      <c r="BE49" s="596" t="e">
        <f t="shared" ref="BE49" si="22">BD50/BD49</f>
        <v>#DIV/0!</v>
      </c>
      <c r="BF49" s="146"/>
      <c r="BG49" s="146"/>
      <c r="BH49" s="146"/>
      <c r="BI49" s="146"/>
      <c r="BJ49" s="146"/>
      <c r="BK49" s="146"/>
      <c r="BL49" s="146"/>
      <c r="BM49" s="146"/>
      <c r="BN49" s="146"/>
      <c r="BO49" s="146"/>
      <c r="BP49" s="146"/>
      <c r="BQ49" s="146"/>
    </row>
    <row r="50" spans="1:69" ht="15" customHeight="1" x14ac:dyDescent="0.25">
      <c r="A50" s="619"/>
      <c r="B50" s="620"/>
      <c r="C50" s="595"/>
      <c r="D50" s="595"/>
      <c r="E50" s="613"/>
      <c r="F50" s="191" t="s">
        <v>11</v>
      </c>
      <c r="G50" s="589"/>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c r="AG50" s="57"/>
      <c r="AH50" s="57"/>
      <c r="AI50" s="57"/>
      <c r="AJ50" s="57"/>
      <c r="AK50" s="57"/>
      <c r="AL50" s="57"/>
      <c r="AM50" s="57"/>
      <c r="AN50" s="57"/>
      <c r="AO50" s="57"/>
      <c r="AP50" s="57"/>
      <c r="AQ50" s="57"/>
      <c r="AR50" s="57"/>
      <c r="AS50" s="57"/>
      <c r="AT50" s="57"/>
      <c r="AU50" s="57"/>
      <c r="AV50" s="57"/>
      <c r="AW50" s="57"/>
      <c r="AX50" s="57"/>
      <c r="AY50" s="57"/>
      <c r="AZ50" s="57"/>
      <c r="BA50" s="57"/>
      <c r="BB50" s="57"/>
      <c r="BC50" s="57"/>
      <c r="BD50" s="57">
        <f t="shared" si="0"/>
        <v>0</v>
      </c>
      <c r="BE50" s="597"/>
      <c r="BF50" s="146"/>
      <c r="BG50" s="146"/>
      <c r="BH50" s="146"/>
      <c r="BI50" s="146"/>
      <c r="BJ50" s="146"/>
      <c r="BK50" s="146"/>
      <c r="BL50" s="146"/>
      <c r="BM50" s="146"/>
      <c r="BN50" s="146"/>
      <c r="BO50" s="146"/>
      <c r="BP50" s="146"/>
      <c r="BQ50" s="146"/>
    </row>
    <row r="51" spans="1:69" ht="15" customHeight="1" x14ac:dyDescent="0.25">
      <c r="A51" s="619"/>
      <c r="B51" s="620"/>
      <c r="C51" s="594"/>
      <c r="D51" s="594"/>
      <c r="E51" s="592"/>
      <c r="F51" s="190" t="s">
        <v>12</v>
      </c>
      <c r="G51" s="588"/>
      <c r="H51" s="196"/>
      <c r="I51" s="196"/>
      <c r="J51" s="196"/>
      <c r="K51" s="196"/>
      <c r="L51" s="196"/>
      <c r="M51" s="196"/>
      <c r="N51" s="196"/>
      <c r="O51" s="196"/>
      <c r="P51" s="196"/>
      <c r="Q51" s="196"/>
      <c r="R51" s="196"/>
      <c r="S51" s="196"/>
      <c r="T51" s="196"/>
      <c r="U51" s="196"/>
      <c r="V51" s="196"/>
      <c r="W51" s="196"/>
      <c r="X51" s="196"/>
      <c r="Y51" s="196"/>
      <c r="Z51" s="196"/>
      <c r="AA51" s="196"/>
      <c r="AB51" s="196"/>
      <c r="AC51" s="196"/>
      <c r="AD51" s="196"/>
      <c r="AE51" s="196"/>
      <c r="AF51" s="196"/>
      <c r="AG51" s="196"/>
      <c r="AH51" s="196"/>
      <c r="AI51" s="196"/>
      <c r="AJ51" s="196"/>
      <c r="AK51" s="196"/>
      <c r="AL51" s="196"/>
      <c r="AM51" s="196"/>
      <c r="AN51" s="196"/>
      <c r="AO51" s="196"/>
      <c r="AP51" s="196"/>
      <c r="AQ51" s="196"/>
      <c r="AR51" s="196"/>
      <c r="AS51" s="196"/>
      <c r="AT51" s="196"/>
      <c r="AU51" s="196"/>
      <c r="AV51" s="196"/>
      <c r="AW51" s="196"/>
      <c r="AX51" s="196"/>
      <c r="AY51" s="196"/>
      <c r="AZ51" s="196"/>
      <c r="BA51" s="196"/>
      <c r="BB51" s="196"/>
      <c r="BC51" s="196"/>
      <c r="BD51" s="196">
        <f t="shared" si="0"/>
        <v>0</v>
      </c>
      <c r="BE51" s="596" t="e">
        <f t="shared" ref="BE51" si="23">BD52/BD51</f>
        <v>#DIV/0!</v>
      </c>
      <c r="BF51" s="146"/>
      <c r="BG51" s="146"/>
      <c r="BH51" s="146"/>
      <c r="BI51" s="146"/>
      <c r="BJ51" s="146"/>
      <c r="BK51" s="146"/>
      <c r="BL51" s="146"/>
      <c r="BM51" s="146"/>
      <c r="BN51" s="146"/>
      <c r="BO51" s="146"/>
      <c r="BP51" s="146"/>
      <c r="BQ51" s="146"/>
    </row>
    <row r="52" spans="1:69" ht="15" customHeight="1" x14ac:dyDescent="0.25">
      <c r="A52" s="619"/>
      <c r="B52" s="620"/>
      <c r="C52" s="595"/>
      <c r="D52" s="595"/>
      <c r="E52" s="593"/>
      <c r="F52" s="191" t="s">
        <v>11</v>
      </c>
      <c r="G52" s="589"/>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c r="AG52" s="57"/>
      <c r="AH52" s="57"/>
      <c r="AI52" s="57"/>
      <c r="AJ52" s="57"/>
      <c r="AK52" s="57"/>
      <c r="AL52" s="57"/>
      <c r="AM52" s="57"/>
      <c r="AN52" s="57"/>
      <c r="AO52" s="57"/>
      <c r="AP52" s="57"/>
      <c r="AQ52" s="57"/>
      <c r="AR52" s="57"/>
      <c r="AS52" s="57"/>
      <c r="AT52" s="57"/>
      <c r="AU52" s="57"/>
      <c r="AV52" s="57"/>
      <c r="AW52" s="57"/>
      <c r="AX52" s="57"/>
      <c r="AY52" s="57"/>
      <c r="AZ52" s="57"/>
      <c r="BA52" s="57"/>
      <c r="BB52" s="57"/>
      <c r="BC52" s="57"/>
      <c r="BD52" s="57">
        <f t="shared" si="0"/>
        <v>0</v>
      </c>
      <c r="BE52" s="597"/>
      <c r="BF52" s="146"/>
      <c r="BG52" s="146"/>
      <c r="BH52" s="146"/>
      <c r="BI52" s="146"/>
      <c r="BJ52" s="146"/>
      <c r="BK52" s="146"/>
      <c r="BL52" s="146"/>
      <c r="BM52" s="146"/>
      <c r="BN52" s="146"/>
      <c r="BO52" s="146"/>
      <c r="BP52" s="146"/>
      <c r="BQ52" s="146"/>
    </row>
    <row r="53" spans="1:69" ht="15" customHeight="1" x14ac:dyDescent="0.25">
      <c r="A53" s="619"/>
      <c r="B53" s="620"/>
      <c r="C53" s="594"/>
      <c r="D53" s="594"/>
      <c r="E53" s="645"/>
      <c r="F53" s="190" t="s">
        <v>12</v>
      </c>
      <c r="G53" s="588"/>
      <c r="H53" s="196"/>
      <c r="I53" s="196"/>
      <c r="J53" s="196"/>
      <c r="K53" s="196"/>
      <c r="L53" s="196"/>
      <c r="M53" s="196"/>
      <c r="N53" s="196"/>
      <c r="O53" s="196"/>
      <c r="P53" s="196"/>
      <c r="Q53" s="196"/>
      <c r="R53" s="196"/>
      <c r="S53" s="196"/>
      <c r="T53" s="196"/>
      <c r="U53" s="196"/>
      <c r="V53" s="196"/>
      <c r="W53" s="196"/>
      <c r="X53" s="196"/>
      <c r="Y53" s="196"/>
      <c r="Z53" s="196"/>
      <c r="AA53" s="196"/>
      <c r="AB53" s="196"/>
      <c r="AC53" s="196"/>
      <c r="AD53" s="196"/>
      <c r="AE53" s="196"/>
      <c r="AF53" s="196"/>
      <c r="AG53" s="196"/>
      <c r="AH53" s="196"/>
      <c r="AI53" s="196"/>
      <c r="AJ53" s="196"/>
      <c r="AK53" s="196"/>
      <c r="AL53" s="196"/>
      <c r="AM53" s="196"/>
      <c r="AN53" s="196"/>
      <c r="AO53" s="196"/>
      <c r="AP53" s="196"/>
      <c r="AQ53" s="196"/>
      <c r="AR53" s="196"/>
      <c r="AS53" s="196"/>
      <c r="AT53" s="196"/>
      <c r="AU53" s="196"/>
      <c r="AV53" s="196"/>
      <c r="AW53" s="196"/>
      <c r="AX53" s="196"/>
      <c r="AY53" s="196"/>
      <c r="AZ53" s="196"/>
      <c r="BA53" s="196"/>
      <c r="BB53" s="196"/>
      <c r="BC53" s="196"/>
      <c r="BD53" s="196">
        <f t="shared" si="0"/>
        <v>0</v>
      </c>
      <c r="BE53" s="596" t="e">
        <f t="shared" ref="BE53" si="24">BD54/BD53</f>
        <v>#DIV/0!</v>
      </c>
      <c r="BF53" s="146"/>
      <c r="BG53" s="146"/>
      <c r="BH53" s="146"/>
      <c r="BI53" s="146"/>
      <c r="BJ53" s="146"/>
      <c r="BK53" s="146"/>
      <c r="BL53" s="146"/>
      <c r="BM53" s="146"/>
      <c r="BN53" s="146"/>
      <c r="BO53" s="146"/>
      <c r="BP53" s="146"/>
      <c r="BQ53" s="146"/>
    </row>
    <row r="54" spans="1:69" ht="15" customHeight="1" x14ac:dyDescent="0.25">
      <c r="A54" s="619"/>
      <c r="B54" s="595"/>
      <c r="C54" s="595"/>
      <c r="D54" s="595"/>
      <c r="E54" s="646"/>
      <c r="F54" s="191" t="s">
        <v>11</v>
      </c>
      <c r="G54" s="589"/>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57"/>
      <c r="AT54" s="57"/>
      <c r="AU54" s="57"/>
      <c r="AV54" s="57"/>
      <c r="AW54" s="57"/>
      <c r="AX54" s="57"/>
      <c r="AY54" s="57"/>
      <c r="AZ54" s="57"/>
      <c r="BA54" s="57"/>
      <c r="BB54" s="57"/>
      <c r="BC54" s="57"/>
      <c r="BD54" s="57">
        <f t="shared" si="0"/>
        <v>0</v>
      </c>
      <c r="BE54" s="597"/>
      <c r="BF54" s="146"/>
      <c r="BG54" s="146"/>
      <c r="BH54" s="146"/>
      <c r="BI54" s="146"/>
      <c r="BJ54" s="146"/>
      <c r="BK54" s="146"/>
      <c r="BL54" s="146"/>
      <c r="BM54" s="146"/>
      <c r="BN54" s="146"/>
      <c r="BO54" s="146"/>
      <c r="BP54" s="146"/>
      <c r="BQ54" s="146"/>
    </row>
    <row r="55" spans="1:69" ht="15" customHeight="1" x14ac:dyDescent="0.25">
      <c r="A55" s="619"/>
      <c r="B55" s="602"/>
      <c r="C55" s="594"/>
      <c r="D55" s="594"/>
      <c r="E55" s="592"/>
      <c r="F55" s="190" t="s">
        <v>12</v>
      </c>
      <c r="G55" s="588"/>
      <c r="H55" s="196"/>
      <c r="I55" s="196"/>
      <c r="J55" s="196"/>
      <c r="K55" s="196"/>
      <c r="L55" s="196"/>
      <c r="M55" s="196"/>
      <c r="N55" s="196"/>
      <c r="O55" s="196"/>
      <c r="P55" s="196"/>
      <c r="Q55" s="196"/>
      <c r="R55" s="196"/>
      <c r="S55" s="196"/>
      <c r="T55" s="196"/>
      <c r="U55" s="196"/>
      <c r="V55" s="196"/>
      <c r="W55" s="196"/>
      <c r="X55" s="196"/>
      <c r="Y55" s="196"/>
      <c r="Z55" s="196"/>
      <c r="AA55" s="196"/>
      <c r="AB55" s="196"/>
      <c r="AC55" s="196"/>
      <c r="AD55" s="196"/>
      <c r="AE55" s="196"/>
      <c r="AF55" s="196"/>
      <c r="AG55" s="196"/>
      <c r="AH55" s="196"/>
      <c r="AI55" s="196"/>
      <c r="AJ55" s="196"/>
      <c r="AK55" s="196"/>
      <c r="AL55" s="196"/>
      <c r="AM55" s="196"/>
      <c r="AN55" s="196"/>
      <c r="AO55" s="196"/>
      <c r="AP55" s="196"/>
      <c r="AQ55" s="196"/>
      <c r="AR55" s="196"/>
      <c r="AS55" s="196"/>
      <c r="AT55" s="196"/>
      <c r="AU55" s="196"/>
      <c r="AV55" s="196"/>
      <c r="AW55" s="196"/>
      <c r="AX55" s="196"/>
      <c r="AY55" s="196"/>
      <c r="AZ55" s="196"/>
      <c r="BA55" s="196"/>
      <c r="BB55" s="196"/>
      <c r="BC55" s="196"/>
      <c r="BD55" s="196">
        <f t="shared" si="0"/>
        <v>0</v>
      </c>
      <c r="BE55" s="596" t="e">
        <f t="shared" ref="BE55" si="25">BD56/BD55</f>
        <v>#DIV/0!</v>
      </c>
      <c r="BF55" s="146"/>
      <c r="BG55" s="146"/>
      <c r="BH55" s="146"/>
      <c r="BI55" s="146"/>
      <c r="BJ55" s="146"/>
      <c r="BK55" s="146"/>
      <c r="BL55" s="146"/>
      <c r="BM55" s="146"/>
      <c r="BN55" s="146"/>
      <c r="BO55" s="146"/>
      <c r="BP55" s="146"/>
      <c r="BQ55" s="146"/>
    </row>
    <row r="56" spans="1:69" x14ac:dyDescent="0.25">
      <c r="A56" s="619"/>
      <c r="B56" s="603"/>
      <c r="C56" s="595"/>
      <c r="D56" s="595"/>
      <c r="E56" s="593"/>
      <c r="F56" s="191" t="s">
        <v>11</v>
      </c>
      <c r="G56" s="589"/>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c r="AG56" s="57"/>
      <c r="AH56" s="57"/>
      <c r="AI56" s="57"/>
      <c r="AJ56" s="57"/>
      <c r="AK56" s="57"/>
      <c r="AL56" s="57"/>
      <c r="AM56" s="57"/>
      <c r="AN56" s="57"/>
      <c r="AO56" s="57"/>
      <c r="AP56" s="57"/>
      <c r="AQ56" s="57"/>
      <c r="AR56" s="57"/>
      <c r="AS56" s="57"/>
      <c r="AT56" s="57"/>
      <c r="AU56" s="57"/>
      <c r="AV56" s="57"/>
      <c r="AW56" s="57"/>
      <c r="AX56" s="57"/>
      <c r="AY56" s="57"/>
      <c r="AZ56" s="57"/>
      <c r="BA56" s="57"/>
      <c r="BB56" s="57"/>
      <c r="BC56" s="57"/>
      <c r="BD56" s="57">
        <f t="shared" si="0"/>
        <v>0</v>
      </c>
      <c r="BE56" s="597"/>
      <c r="BF56" s="146"/>
      <c r="BG56" s="146"/>
      <c r="BH56" s="146"/>
      <c r="BI56" s="146"/>
      <c r="BJ56" s="146"/>
      <c r="BK56" s="146"/>
      <c r="BL56" s="146"/>
      <c r="BM56" s="146"/>
      <c r="BN56" s="146"/>
      <c r="BO56" s="146"/>
      <c r="BP56" s="146"/>
      <c r="BQ56" s="146"/>
    </row>
    <row r="57" spans="1:69" ht="15" customHeight="1" x14ac:dyDescent="0.25">
      <c r="A57" s="619"/>
      <c r="B57" s="603"/>
      <c r="C57" s="594"/>
      <c r="D57" s="594"/>
      <c r="E57" s="592"/>
      <c r="F57" s="190" t="s">
        <v>12</v>
      </c>
      <c r="G57" s="588"/>
      <c r="H57" s="196"/>
      <c r="I57" s="196"/>
      <c r="J57" s="196"/>
      <c r="K57" s="196"/>
      <c r="L57" s="196"/>
      <c r="M57" s="196"/>
      <c r="N57" s="196"/>
      <c r="O57" s="196"/>
      <c r="P57" s="196"/>
      <c r="Q57" s="196"/>
      <c r="R57" s="196"/>
      <c r="S57" s="196"/>
      <c r="T57" s="196"/>
      <c r="U57" s="196"/>
      <c r="V57" s="196"/>
      <c r="W57" s="196"/>
      <c r="X57" s="196"/>
      <c r="Y57" s="196"/>
      <c r="Z57" s="196"/>
      <c r="AA57" s="196"/>
      <c r="AB57" s="196"/>
      <c r="AC57" s="196"/>
      <c r="AD57" s="196"/>
      <c r="AE57" s="196"/>
      <c r="AF57" s="196"/>
      <c r="AG57" s="196"/>
      <c r="AH57" s="196"/>
      <c r="AI57" s="196"/>
      <c r="AJ57" s="196"/>
      <c r="AK57" s="196"/>
      <c r="AL57" s="196"/>
      <c r="AM57" s="196"/>
      <c r="AN57" s="196"/>
      <c r="AO57" s="196"/>
      <c r="AP57" s="196"/>
      <c r="AQ57" s="196"/>
      <c r="AR57" s="196"/>
      <c r="AS57" s="196"/>
      <c r="AT57" s="196"/>
      <c r="AU57" s="196"/>
      <c r="AV57" s="196"/>
      <c r="AW57" s="196"/>
      <c r="AX57" s="196"/>
      <c r="AY57" s="196"/>
      <c r="AZ57" s="196"/>
      <c r="BA57" s="196"/>
      <c r="BB57" s="196"/>
      <c r="BC57" s="196"/>
      <c r="BD57" s="196">
        <f t="shared" si="0"/>
        <v>0</v>
      </c>
      <c r="BE57" s="596" t="e">
        <f t="shared" ref="BE57" si="26">BD58/BD57</f>
        <v>#DIV/0!</v>
      </c>
      <c r="BF57" s="146"/>
      <c r="BG57" s="146"/>
      <c r="BH57" s="146"/>
      <c r="BI57" s="146"/>
      <c r="BJ57" s="146"/>
      <c r="BK57" s="146"/>
      <c r="BL57" s="146"/>
      <c r="BM57" s="146"/>
      <c r="BN57" s="146"/>
      <c r="BO57" s="146"/>
      <c r="BP57" s="146"/>
      <c r="BQ57" s="146"/>
    </row>
    <row r="58" spans="1:69" x14ac:dyDescent="0.25">
      <c r="A58" s="619"/>
      <c r="B58" s="603"/>
      <c r="C58" s="595"/>
      <c r="D58" s="595"/>
      <c r="E58" s="593"/>
      <c r="F58" s="191" t="s">
        <v>11</v>
      </c>
      <c r="G58" s="589"/>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c r="AG58" s="57"/>
      <c r="AH58" s="57"/>
      <c r="AI58" s="57"/>
      <c r="AJ58" s="57"/>
      <c r="AK58" s="57"/>
      <c r="AL58" s="57"/>
      <c r="AM58" s="57"/>
      <c r="AN58" s="57"/>
      <c r="AO58" s="57"/>
      <c r="AP58" s="57"/>
      <c r="AQ58" s="57"/>
      <c r="AR58" s="57"/>
      <c r="AS58" s="57"/>
      <c r="AT58" s="57"/>
      <c r="AU58" s="57"/>
      <c r="AV58" s="57"/>
      <c r="AW58" s="57"/>
      <c r="AX58" s="57"/>
      <c r="AY58" s="57"/>
      <c r="AZ58" s="57"/>
      <c r="BA58" s="57"/>
      <c r="BB58" s="57"/>
      <c r="BC58" s="57"/>
      <c r="BD58" s="57">
        <f t="shared" si="0"/>
        <v>0</v>
      </c>
      <c r="BE58" s="597"/>
      <c r="BF58" s="146"/>
      <c r="BG58" s="146"/>
      <c r="BH58" s="146"/>
      <c r="BI58" s="146"/>
      <c r="BJ58" s="146"/>
      <c r="BK58" s="146"/>
      <c r="BL58" s="146"/>
      <c r="BM58" s="146"/>
      <c r="BN58" s="146"/>
      <c r="BO58" s="146"/>
      <c r="BP58" s="146"/>
      <c r="BQ58" s="146"/>
    </row>
    <row r="59" spans="1:69" ht="15" customHeight="1" x14ac:dyDescent="0.25">
      <c r="A59" s="619"/>
      <c r="B59" s="603"/>
      <c r="C59" s="594"/>
      <c r="D59" s="594"/>
      <c r="E59" s="592"/>
      <c r="F59" s="190" t="s">
        <v>12</v>
      </c>
      <c r="G59" s="582"/>
      <c r="H59" s="196"/>
      <c r="I59" s="196"/>
      <c r="J59" s="196"/>
      <c r="K59" s="196"/>
      <c r="L59" s="196"/>
      <c r="M59" s="196"/>
      <c r="N59" s="196"/>
      <c r="O59" s="196"/>
      <c r="P59" s="196"/>
      <c r="Q59" s="196"/>
      <c r="R59" s="196"/>
      <c r="S59" s="196"/>
      <c r="T59" s="196"/>
      <c r="U59" s="196"/>
      <c r="V59" s="196"/>
      <c r="W59" s="196"/>
      <c r="X59" s="196"/>
      <c r="Y59" s="196"/>
      <c r="Z59" s="196"/>
      <c r="AA59" s="196"/>
      <c r="AB59" s="196"/>
      <c r="AC59" s="196"/>
      <c r="AD59" s="196"/>
      <c r="AE59" s="196"/>
      <c r="AF59" s="196"/>
      <c r="AG59" s="196"/>
      <c r="AH59" s="196"/>
      <c r="AI59" s="196"/>
      <c r="AJ59" s="196"/>
      <c r="AK59" s="196"/>
      <c r="AL59" s="196"/>
      <c r="AM59" s="196"/>
      <c r="AN59" s="196"/>
      <c r="AO59" s="196"/>
      <c r="AP59" s="196"/>
      <c r="AQ59" s="196"/>
      <c r="AR59" s="196"/>
      <c r="AS59" s="196"/>
      <c r="AT59" s="196"/>
      <c r="AU59" s="196"/>
      <c r="AV59" s="196"/>
      <c r="AW59" s="196"/>
      <c r="AX59" s="196"/>
      <c r="AY59" s="196"/>
      <c r="AZ59" s="196"/>
      <c r="BA59" s="196"/>
      <c r="BB59" s="196"/>
      <c r="BC59" s="196"/>
      <c r="BD59" s="196">
        <f t="shared" si="0"/>
        <v>0</v>
      </c>
      <c r="BE59" s="596" t="e">
        <f t="shared" ref="BE59" si="27">BD60/BD59</f>
        <v>#DIV/0!</v>
      </c>
      <c r="BF59" s="146"/>
      <c r="BG59" s="146"/>
      <c r="BH59" s="146"/>
      <c r="BI59" s="146"/>
      <c r="BJ59" s="146"/>
      <c r="BK59" s="146"/>
      <c r="BL59" s="146"/>
      <c r="BM59" s="146"/>
      <c r="BN59" s="146"/>
      <c r="BO59" s="146"/>
      <c r="BP59" s="146"/>
      <c r="BQ59" s="146"/>
    </row>
    <row r="60" spans="1:69" x14ac:dyDescent="0.25">
      <c r="A60" s="619"/>
      <c r="B60" s="604"/>
      <c r="C60" s="595"/>
      <c r="D60" s="595"/>
      <c r="E60" s="593"/>
      <c r="F60" s="192" t="s">
        <v>11</v>
      </c>
      <c r="G60" s="582"/>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c r="AM60" s="57"/>
      <c r="AN60" s="57"/>
      <c r="AO60" s="57"/>
      <c r="AP60" s="57"/>
      <c r="AQ60" s="57"/>
      <c r="AR60" s="57"/>
      <c r="AS60" s="57"/>
      <c r="AT60" s="57"/>
      <c r="AU60" s="57"/>
      <c r="AV60" s="57"/>
      <c r="AW60" s="57"/>
      <c r="AX60" s="57"/>
      <c r="AY60" s="57"/>
      <c r="AZ60" s="57"/>
      <c r="BA60" s="57"/>
      <c r="BB60" s="57"/>
      <c r="BC60" s="57"/>
      <c r="BD60" s="57">
        <f t="shared" si="0"/>
        <v>0</v>
      </c>
      <c r="BE60" s="597"/>
      <c r="BF60" s="146"/>
      <c r="BG60" s="146"/>
      <c r="BH60" s="146"/>
      <c r="BI60" s="146"/>
      <c r="BJ60" s="146"/>
      <c r="BK60" s="146"/>
      <c r="BL60" s="146"/>
      <c r="BM60" s="146"/>
      <c r="BN60" s="146"/>
      <c r="BO60" s="146"/>
      <c r="BP60" s="146"/>
      <c r="BQ60" s="146"/>
    </row>
    <row r="61" spans="1:69" ht="15" customHeight="1" x14ac:dyDescent="0.25">
      <c r="A61" s="619"/>
      <c r="B61" s="598"/>
      <c r="C61" s="594"/>
      <c r="D61" s="594"/>
      <c r="E61" s="599"/>
      <c r="F61" s="190" t="s">
        <v>12</v>
      </c>
      <c r="G61" s="582"/>
      <c r="H61" s="196"/>
      <c r="I61" s="196"/>
      <c r="J61" s="196"/>
      <c r="K61" s="196"/>
      <c r="L61" s="196"/>
      <c r="M61" s="196"/>
      <c r="N61" s="196"/>
      <c r="O61" s="196"/>
      <c r="P61" s="196"/>
      <c r="Q61" s="196"/>
      <c r="R61" s="196"/>
      <c r="S61" s="196"/>
      <c r="T61" s="196"/>
      <c r="U61" s="196"/>
      <c r="V61" s="196"/>
      <c r="W61" s="196"/>
      <c r="X61" s="196"/>
      <c r="Y61" s="196"/>
      <c r="Z61" s="196"/>
      <c r="AA61" s="196"/>
      <c r="AB61" s="196"/>
      <c r="AC61" s="196"/>
      <c r="AD61" s="196"/>
      <c r="AE61" s="196"/>
      <c r="AF61" s="196"/>
      <c r="AG61" s="196"/>
      <c r="AH61" s="196"/>
      <c r="AI61" s="196"/>
      <c r="AJ61" s="196"/>
      <c r="AK61" s="196"/>
      <c r="AL61" s="196"/>
      <c r="AM61" s="196"/>
      <c r="AN61" s="196"/>
      <c r="AO61" s="196"/>
      <c r="AP61" s="196"/>
      <c r="AQ61" s="196"/>
      <c r="AR61" s="196"/>
      <c r="AS61" s="196"/>
      <c r="AT61" s="196"/>
      <c r="AU61" s="196"/>
      <c r="AV61" s="196"/>
      <c r="AW61" s="196"/>
      <c r="AX61" s="196"/>
      <c r="AY61" s="196"/>
      <c r="AZ61" s="196"/>
      <c r="BA61" s="196"/>
      <c r="BB61" s="196"/>
      <c r="BC61" s="196"/>
      <c r="BD61" s="196">
        <f t="shared" si="0"/>
        <v>0</v>
      </c>
      <c r="BE61" s="596" t="e">
        <f t="shared" ref="BE61" si="28">BD62/BD61</f>
        <v>#DIV/0!</v>
      </c>
      <c r="BF61" s="146"/>
      <c r="BG61" s="146"/>
      <c r="BH61" s="146"/>
      <c r="BI61" s="146"/>
      <c r="BJ61" s="146"/>
      <c r="BK61" s="146"/>
      <c r="BL61" s="146"/>
      <c r="BM61" s="146"/>
      <c r="BN61" s="146"/>
      <c r="BO61" s="146"/>
      <c r="BP61" s="146"/>
      <c r="BQ61" s="146"/>
    </row>
    <row r="62" spans="1:69" ht="15" customHeight="1" x14ac:dyDescent="0.25">
      <c r="A62" s="619"/>
      <c r="B62" s="598"/>
      <c r="C62" s="595"/>
      <c r="D62" s="595"/>
      <c r="E62" s="600"/>
      <c r="F62" s="191" t="s">
        <v>11</v>
      </c>
      <c r="G62" s="582"/>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c r="AP62" s="57"/>
      <c r="AQ62" s="57"/>
      <c r="AR62" s="57"/>
      <c r="AS62" s="57"/>
      <c r="AT62" s="57"/>
      <c r="AU62" s="57"/>
      <c r="AV62" s="57"/>
      <c r="AW62" s="57"/>
      <c r="AX62" s="57"/>
      <c r="AY62" s="57"/>
      <c r="AZ62" s="57"/>
      <c r="BA62" s="57"/>
      <c r="BB62" s="57"/>
      <c r="BC62" s="57"/>
      <c r="BD62" s="57">
        <f t="shared" si="0"/>
        <v>0</v>
      </c>
      <c r="BE62" s="597"/>
      <c r="BF62" s="146"/>
      <c r="BG62" s="146"/>
      <c r="BH62" s="146"/>
      <c r="BI62" s="146"/>
      <c r="BJ62" s="146"/>
      <c r="BK62" s="146"/>
      <c r="BL62" s="146"/>
      <c r="BM62" s="146"/>
      <c r="BN62" s="146"/>
      <c r="BO62" s="146"/>
      <c r="BP62" s="146"/>
      <c r="BQ62" s="146"/>
    </row>
    <row r="63" spans="1:69" ht="15" customHeight="1" x14ac:dyDescent="0.25">
      <c r="A63" s="619"/>
      <c r="B63" s="601"/>
      <c r="C63" s="594"/>
      <c r="D63" s="594"/>
      <c r="E63" s="599"/>
      <c r="F63" s="190" t="s">
        <v>12</v>
      </c>
      <c r="G63" s="582"/>
      <c r="H63" s="196"/>
      <c r="I63" s="196"/>
      <c r="J63" s="196"/>
      <c r="K63" s="196"/>
      <c r="L63" s="196"/>
      <c r="M63" s="196"/>
      <c r="N63" s="196"/>
      <c r="O63" s="196"/>
      <c r="P63" s="196"/>
      <c r="Q63" s="196"/>
      <c r="R63" s="196"/>
      <c r="S63" s="196"/>
      <c r="T63" s="196"/>
      <c r="U63" s="196"/>
      <c r="V63" s="196"/>
      <c r="W63" s="196"/>
      <c r="X63" s="196"/>
      <c r="Y63" s="196"/>
      <c r="Z63" s="196"/>
      <c r="AA63" s="196"/>
      <c r="AB63" s="196"/>
      <c r="AC63" s="196"/>
      <c r="AD63" s="196"/>
      <c r="AE63" s="196"/>
      <c r="AF63" s="196"/>
      <c r="AG63" s="196"/>
      <c r="AH63" s="196"/>
      <c r="AI63" s="196"/>
      <c r="AJ63" s="196"/>
      <c r="AK63" s="196"/>
      <c r="AL63" s="196"/>
      <c r="AM63" s="196"/>
      <c r="AN63" s="196"/>
      <c r="AO63" s="196"/>
      <c r="AP63" s="196"/>
      <c r="AQ63" s="196"/>
      <c r="AR63" s="196"/>
      <c r="AS63" s="196"/>
      <c r="AT63" s="196"/>
      <c r="AU63" s="196"/>
      <c r="AV63" s="196"/>
      <c r="AW63" s="196"/>
      <c r="AX63" s="196"/>
      <c r="AY63" s="196"/>
      <c r="AZ63" s="196"/>
      <c r="BA63" s="196"/>
      <c r="BB63" s="196"/>
      <c r="BC63" s="196"/>
      <c r="BD63" s="196">
        <f t="shared" si="0"/>
        <v>0</v>
      </c>
      <c r="BE63" s="596" t="e">
        <f t="shared" ref="BE63" si="29">BD64/BD63</f>
        <v>#DIV/0!</v>
      </c>
      <c r="BF63" s="146"/>
      <c r="BG63" s="146"/>
      <c r="BH63" s="146"/>
      <c r="BI63" s="146"/>
      <c r="BJ63" s="146"/>
      <c r="BK63" s="146"/>
      <c r="BL63" s="146"/>
      <c r="BM63" s="146"/>
      <c r="BN63" s="146"/>
      <c r="BO63" s="146"/>
      <c r="BP63" s="146"/>
      <c r="BQ63" s="146"/>
    </row>
    <row r="64" spans="1:69" ht="15" customHeight="1" x14ac:dyDescent="0.25">
      <c r="A64" s="619"/>
      <c r="B64" s="601"/>
      <c r="C64" s="595"/>
      <c r="D64" s="595"/>
      <c r="E64" s="600"/>
      <c r="F64" s="191" t="s">
        <v>11</v>
      </c>
      <c r="G64" s="582"/>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c r="AQ64" s="57"/>
      <c r="AR64" s="57"/>
      <c r="AS64" s="57"/>
      <c r="AT64" s="57"/>
      <c r="AU64" s="57"/>
      <c r="AV64" s="57"/>
      <c r="AW64" s="57"/>
      <c r="AX64" s="57"/>
      <c r="AY64" s="57"/>
      <c r="AZ64" s="57"/>
      <c r="BA64" s="57"/>
      <c r="BB64" s="57"/>
      <c r="BC64" s="57"/>
      <c r="BD64" s="57">
        <f t="shared" si="0"/>
        <v>0</v>
      </c>
      <c r="BE64" s="597"/>
      <c r="BF64" s="146"/>
      <c r="BG64" s="146"/>
      <c r="BH64" s="146"/>
      <c r="BI64" s="146"/>
      <c r="BJ64" s="146"/>
      <c r="BK64" s="146"/>
      <c r="BL64" s="146"/>
      <c r="BM64" s="146"/>
      <c r="BN64" s="146"/>
      <c r="BO64" s="146"/>
      <c r="BP64" s="146"/>
      <c r="BQ64" s="146"/>
    </row>
    <row r="65" spans="1:69" ht="15" customHeight="1" x14ac:dyDescent="0.25">
      <c r="A65" s="619"/>
      <c r="B65" s="598"/>
      <c r="C65" s="594"/>
      <c r="D65" s="594"/>
      <c r="E65" s="580"/>
      <c r="F65" s="190" t="s">
        <v>12</v>
      </c>
      <c r="G65" s="582"/>
      <c r="H65" s="196"/>
      <c r="I65" s="196"/>
      <c r="J65" s="196"/>
      <c r="K65" s="196"/>
      <c r="L65" s="196"/>
      <c r="M65" s="196"/>
      <c r="N65" s="196"/>
      <c r="O65" s="196"/>
      <c r="P65" s="196"/>
      <c r="Q65" s="196"/>
      <c r="R65" s="196"/>
      <c r="S65" s="196"/>
      <c r="T65" s="196"/>
      <c r="U65" s="196"/>
      <c r="V65" s="196"/>
      <c r="W65" s="196"/>
      <c r="X65" s="196"/>
      <c r="Y65" s="196"/>
      <c r="Z65" s="196"/>
      <c r="AA65" s="196"/>
      <c r="AB65" s="196"/>
      <c r="AC65" s="196"/>
      <c r="AD65" s="196"/>
      <c r="AE65" s="196"/>
      <c r="AF65" s="196"/>
      <c r="AG65" s="196"/>
      <c r="AH65" s="196"/>
      <c r="AI65" s="196"/>
      <c r="AJ65" s="196"/>
      <c r="AK65" s="196"/>
      <c r="AL65" s="196"/>
      <c r="AM65" s="196"/>
      <c r="AN65" s="196"/>
      <c r="AO65" s="196"/>
      <c r="AP65" s="196"/>
      <c r="AQ65" s="196"/>
      <c r="AR65" s="196"/>
      <c r="AS65" s="196"/>
      <c r="AT65" s="196"/>
      <c r="AU65" s="196"/>
      <c r="AV65" s="196"/>
      <c r="AW65" s="196"/>
      <c r="AX65" s="196"/>
      <c r="AY65" s="196"/>
      <c r="AZ65" s="196"/>
      <c r="BA65" s="196"/>
      <c r="BB65" s="196"/>
      <c r="BC65" s="196"/>
      <c r="BD65" s="196">
        <f t="shared" si="0"/>
        <v>0</v>
      </c>
      <c r="BE65" s="596" t="e">
        <f t="shared" ref="BE65" si="30">BD66/BD65</f>
        <v>#DIV/0!</v>
      </c>
      <c r="BF65" s="146"/>
      <c r="BG65" s="146"/>
      <c r="BH65" s="146"/>
      <c r="BI65" s="146"/>
      <c r="BJ65" s="146"/>
      <c r="BK65" s="146"/>
      <c r="BL65" s="146"/>
      <c r="BM65" s="146"/>
      <c r="BN65" s="146"/>
      <c r="BO65" s="146"/>
      <c r="BP65" s="146"/>
      <c r="BQ65" s="146"/>
    </row>
    <row r="66" spans="1:69" ht="15.75" customHeight="1" x14ac:dyDescent="0.25">
      <c r="A66" s="619"/>
      <c r="B66" s="598"/>
      <c r="C66" s="595"/>
      <c r="D66" s="595"/>
      <c r="E66" s="581"/>
      <c r="F66" s="191" t="s">
        <v>11</v>
      </c>
      <c r="G66" s="582"/>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57"/>
      <c r="AZ66" s="57"/>
      <c r="BA66" s="57"/>
      <c r="BB66" s="57"/>
      <c r="BC66" s="57"/>
      <c r="BD66" s="57">
        <f t="shared" si="0"/>
        <v>0</v>
      </c>
      <c r="BE66" s="597"/>
      <c r="BF66" s="146"/>
      <c r="BG66" s="146"/>
      <c r="BH66" s="57"/>
      <c r="BI66" s="146"/>
      <c r="BJ66" s="146"/>
      <c r="BK66" s="146"/>
      <c r="BL66" s="146"/>
      <c r="BM66" s="146"/>
      <c r="BN66" s="146"/>
      <c r="BO66" s="146"/>
      <c r="BP66" s="146"/>
      <c r="BQ66" s="146"/>
    </row>
    <row r="67" spans="1:69" x14ac:dyDescent="0.25">
      <c r="A67" s="619"/>
      <c r="B67" s="598"/>
      <c r="C67" s="594"/>
      <c r="D67" s="594"/>
      <c r="E67" s="580"/>
      <c r="F67" s="190" t="s">
        <v>12</v>
      </c>
      <c r="G67" s="582"/>
      <c r="H67" s="196"/>
      <c r="I67" s="196"/>
      <c r="J67" s="196"/>
      <c r="K67" s="196"/>
      <c r="L67" s="196"/>
      <c r="M67" s="196"/>
      <c r="N67" s="196"/>
      <c r="O67" s="196"/>
      <c r="P67" s="196"/>
      <c r="Q67" s="196"/>
      <c r="R67" s="196"/>
      <c r="S67" s="196"/>
      <c r="T67" s="196"/>
      <c r="U67" s="196"/>
      <c r="V67" s="196"/>
      <c r="W67" s="196"/>
      <c r="X67" s="196"/>
      <c r="Y67" s="196"/>
      <c r="Z67" s="196"/>
      <c r="AA67" s="196"/>
      <c r="AB67" s="196"/>
      <c r="AC67" s="196"/>
      <c r="AD67" s="196"/>
      <c r="AE67" s="196"/>
      <c r="AF67" s="196"/>
      <c r="AG67" s="196"/>
      <c r="AH67" s="196"/>
      <c r="AI67" s="196"/>
      <c r="AJ67" s="196"/>
      <c r="AK67" s="196"/>
      <c r="AL67" s="196"/>
      <c r="AM67" s="196"/>
      <c r="AN67" s="196"/>
      <c r="AO67" s="196"/>
      <c r="AP67" s="196"/>
      <c r="AQ67" s="196"/>
      <c r="AR67" s="196"/>
      <c r="AS67" s="196"/>
      <c r="AT67" s="196"/>
      <c r="AU67" s="196"/>
      <c r="AV67" s="196"/>
      <c r="AW67" s="196"/>
      <c r="AX67" s="196"/>
      <c r="AY67" s="196"/>
      <c r="AZ67" s="196"/>
      <c r="BA67" s="196"/>
      <c r="BB67" s="196"/>
      <c r="BC67" s="196"/>
      <c r="BD67" s="196">
        <f t="shared" si="0"/>
        <v>0</v>
      </c>
      <c r="BE67" s="596" t="e">
        <f t="shared" ref="BE67" si="31">BD68/BD67</f>
        <v>#DIV/0!</v>
      </c>
      <c r="BF67" s="146"/>
      <c r="BG67" s="146"/>
      <c r="BH67" s="146"/>
      <c r="BI67" s="146"/>
      <c r="BJ67" s="146"/>
      <c r="BK67" s="146"/>
      <c r="BL67" s="146"/>
      <c r="BM67" s="146"/>
      <c r="BN67" s="146"/>
      <c r="BO67" s="146"/>
      <c r="BP67" s="146"/>
      <c r="BQ67" s="146"/>
    </row>
    <row r="68" spans="1:69" ht="13.5" customHeight="1" x14ac:dyDescent="0.25">
      <c r="A68" s="619"/>
      <c r="B68" s="598"/>
      <c r="C68" s="595"/>
      <c r="D68" s="595"/>
      <c r="E68" s="581"/>
      <c r="F68" s="191" t="s">
        <v>11</v>
      </c>
      <c r="G68" s="582"/>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c r="AQ68" s="57"/>
      <c r="AR68" s="57"/>
      <c r="AS68" s="57"/>
      <c r="AT68" s="57"/>
      <c r="AU68" s="57"/>
      <c r="AV68" s="57"/>
      <c r="AW68" s="57"/>
      <c r="AX68" s="57"/>
      <c r="AY68" s="57"/>
      <c r="AZ68" s="57"/>
      <c r="BA68" s="57"/>
      <c r="BB68" s="57"/>
      <c r="BC68" s="57"/>
      <c r="BD68" s="57">
        <f t="shared" si="0"/>
        <v>0</v>
      </c>
      <c r="BE68" s="597"/>
      <c r="BF68" s="146"/>
      <c r="BG68" s="146"/>
      <c r="BH68" s="146"/>
      <c r="BI68" s="146"/>
      <c r="BJ68" s="146"/>
      <c r="BK68" s="146"/>
      <c r="BL68" s="146"/>
      <c r="BM68" s="146"/>
      <c r="BN68" s="146"/>
      <c r="BO68" s="146"/>
      <c r="BP68" s="146"/>
      <c r="BQ68" s="146"/>
    </row>
    <row r="69" spans="1:69" ht="18" customHeight="1" x14ac:dyDescent="0.25">
      <c r="A69" s="619"/>
      <c r="B69" s="598"/>
      <c r="C69" s="594"/>
      <c r="D69" s="594"/>
      <c r="E69" s="580"/>
      <c r="F69" s="190" t="s">
        <v>12</v>
      </c>
      <c r="G69" s="582"/>
      <c r="H69" s="196"/>
      <c r="I69" s="196"/>
      <c r="J69" s="196"/>
      <c r="K69" s="196"/>
      <c r="L69" s="196"/>
      <c r="M69" s="196"/>
      <c r="N69" s="196"/>
      <c r="O69" s="196"/>
      <c r="P69" s="196"/>
      <c r="Q69" s="196"/>
      <c r="R69" s="196"/>
      <c r="S69" s="196"/>
      <c r="T69" s="196"/>
      <c r="U69" s="196"/>
      <c r="V69" s="196"/>
      <c r="W69" s="196"/>
      <c r="X69" s="196"/>
      <c r="Y69" s="196"/>
      <c r="Z69" s="196"/>
      <c r="AA69" s="196"/>
      <c r="AB69" s="196"/>
      <c r="AC69" s="196"/>
      <c r="AD69" s="196"/>
      <c r="AE69" s="196"/>
      <c r="AF69" s="196"/>
      <c r="AG69" s="196"/>
      <c r="AH69" s="196"/>
      <c r="AI69" s="196"/>
      <c r="AJ69" s="196"/>
      <c r="AK69" s="196"/>
      <c r="AL69" s="196"/>
      <c r="AM69" s="196"/>
      <c r="AN69" s="196"/>
      <c r="AO69" s="196"/>
      <c r="AP69" s="196"/>
      <c r="AQ69" s="196"/>
      <c r="AR69" s="196"/>
      <c r="AS69" s="196"/>
      <c r="AT69" s="196"/>
      <c r="AU69" s="196"/>
      <c r="AV69" s="196"/>
      <c r="AW69" s="196"/>
      <c r="AX69" s="196"/>
      <c r="AY69" s="196"/>
      <c r="AZ69" s="196"/>
      <c r="BA69" s="196"/>
      <c r="BB69" s="196"/>
      <c r="BC69" s="196"/>
      <c r="BD69" s="196">
        <f t="shared" si="0"/>
        <v>0</v>
      </c>
      <c r="BE69" s="596" t="e">
        <f t="shared" ref="BE69" si="32">BD70/BD69</f>
        <v>#DIV/0!</v>
      </c>
      <c r="BF69" s="146"/>
      <c r="BG69" s="146"/>
      <c r="BH69" s="146"/>
      <c r="BI69" s="146"/>
      <c r="BJ69" s="146"/>
      <c r="BK69" s="146"/>
      <c r="BL69" s="158"/>
      <c r="BM69" s="146"/>
      <c r="BN69" s="146"/>
      <c r="BO69" s="146"/>
      <c r="BP69" s="146"/>
      <c r="BQ69" s="146"/>
    </row>
    <row r="70" spans="1:69" ht="17.25" customHeight="1" x14ac:dyDescent="0.25">
      <c r="A70" s="619"/>
      <c r="B70" s="598"/>
      <c r="C70" s="595"/>
      <c r="D70" s="595"/>
      <c r="E70" s="581"/>
      <c r="F70" s="191" t="s">
        <v>11</v>
      </c>
      <c r="G70" s="582"/>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c r="AQ70" s="57"/>
      <c r="AR70" s="57"/>
      <c r="AS70" s="57"/>
      <c r="AT70" s="57"/>
      <c r="AU70" s="57"/>
      <c r="AV70" s="57"/>
      <c r="AW70" s="57"/>
      <c r="AX70" s="57"/>
      <c r="AY70" s="57"/>
      <c r="AZ70" s="57"/>
      <c r="BA70" s="57"/>
      <c r="BB70" s="57"/>
      <c r="BC70" s="57"/>
      <c r="BD70" s="57">
        <f t="shared" si="0"/>
        <v>0</v>
      </c>
      <c r="BE70" s="597"/>
      <c r="BF70" s="146"/>
      <c r="BG70" s="146"/>
      <c r="BH70" s="146"/>
      <c r="BI70" s="146"/>
      <c r="BJ70" s="146"/>
      <c r="BK70" s="146"/>
      <c r="BL70" s="146"/>
      <c r="BM70" s="146"/>
      <c r="BN70" s="146"/>
      <c r="BO70" s="146"/>
      <c r="BP70" s="146"/>
      <c r="BQ70" s="146"/>
    </row>
    <row r="71" spans="1:69" ht="15" customHeight="1" x14ac:dyDescent="0.25">
      <c r="A71" s="619"/>
      <c r="B71" s="598"/>
      <c r="C71" s="594"/>
      <c r="D71" s="594"/>
      <c r="E71" s="580"/>
      <c r="F71" s="190" t="s">
        <v>12</v>
      </c>
      <c r="G71" s="582"/>
      <c r="H71" s="196"/>
      <c r="I71" s="196"/>
      <c r="J71" s="196"/>
      <c r="K71" s="196"/>
      <c r="L71" s="196"/>
      <c r="M71" s="196"/>
      <c r="N71" s="196"/>
      <c r="O71" s="196"/>
      <c r="P71" s="196"/>
      <c r="Q71" s="196"/>
      <c r="R71" s="196"/>
      <c r="S71" s="196"/>
      <c r="T71" s="196"/>
      <c r="U71" s="196"/>
      <c r="V71" s="196"/>
      <c r="W71" s="196"/>
      <c r="X71" s="196"/>
      <c r="Y71" s="196"/>
      <c r="Z71" s="196"/>
      <c r="AA71" s="196"/>
      <c r="AB71" s="196"/>
      <c r="AC71" s="196"/>
      <c r="AD71" s="196"/>
      <c r="AE71" s="196"/>
      <c r="AF71" s="196"/>
      <c r="AG71" s="196"/>
      <c r="AH71" s="196"/>
      <c r="AI71" s="196"/>
      <c r="AJ71" s="196"/>
      <c r="AK71" s="196"/>
      <c r="AL71" s="196"/>
      <c r="AM71" s="196"/>
      <c r="AN71" s="196"/>
      <c r="AO71" s="196"/>
      <c r="AP71" s="196"/>
      <c r="AQ71" s="196"/>
      <c r="AR71" s="196"/>
      <c r="AS71" s="196"/>
      <c r="AT71" s="196"/>
      <c r="AU71" s="196"/>
      <c r="AV71" s="196"/>
      <c r="AW71" s="196"/>
      <c r="AX71" s="196"/>
      <c r="AY71" s="196"/>
      <c r="AZ71" s="196"/>
      <c r="BA71" s="196"/>
      <c r="BB71" s="196"/>
      <c r="BC71" s="196"/>
      <c r="BD71" s="196">
        <f t="shared" ref="BD71:BD104" si="33">SUM(H71:BC71)</f>
        <v>0</v>
      </c>
      <c r="BE71" s="596" t="e">
        <f t="shared" ref="BE71" si="34">BD72/BD71</f>
        <v>#DIV/0!</v>
      </c>
      <c r="BF71" s="146"/>
      <c r="BG71" s="146"/>
      <c r="BH71" s="146"/>
      <c r="BI71" s="146"/>
      <c r="BJ71" s="146"/>
      <c r="BK71" s="146"/>
      <c r="BL71" s="158"/>
      <c r="BM71" s="146"/>
      <c r="BN71" s="146"/>
      <c r="BO71" s="146"/>
      <c r="BP71" s="146"/>
      <c r="BQ71" s="146"/>
    </row>
    <row r="72" spans="1:69" ht="15" customHeight="1" x14ac:dyDescent="0.25">
      <c r="A72" s="619"/>
      <c r="B72" s="598"/>
      <c r="C72" s="595"/>
      <c r="D72" s="595"/>
      <c r="E72" s="581"/>
      <c r="F72" s="191" t="s">
        <v>11</v>
      </c>
      <c r="G72" s="582"/>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7"/>
      <c r="AN72" s="57"/>
      <c r="AO72" s="57"/>
      <c r="AP72" s="57"/>
      <c r="AQ72" s="57"/>
      <c r="AR72" s="57"/>
      <c r="AS72" s="57"/>
      <c r="AT72" s="57"/>
      <c r="AU72" s="57"/>
      <c r="AV72" s="57"/>
      <c r="AW72" s="57"/>
      <c r="AX72" s="57"/>
      <c r="AY72" s="57"/>
      <c r="AZ72" s="57"/>
      <c r="BA72" s="57"/>
      <c r="BB72" s="57"/>
      <c r="BC72" s="57"/>
      <c r="BD72" s="57">
        <f t="shared" si="33"/>
        <v>0</v>
      </c>
      <c r="BE72" s="597"/>
      <c r="BF72" s="146"/>
      <c r="BG72" s="146"/>
      <c r="BH72" s="146"/>
      <c r="BI72" s="146"/>
      <c r="BJ72" s="146"/>
      <c r="BK72" s="146"/>
      <c r="BL72" s="146"/>
      <c r="BM72" s="146"/>
      <c r="BN72" s="146"/>
      <c r="BO72" s="146"/>
      <c r="BP72" s="146"/>
      <c r="BQ72" s="146"/>
    </row>
    <row r="73" spans="1:69" ht="15" customHeight="1" x14ac:dyDescent="0.25">
      <c r="A73" s="619"/>
      <c r="B73" s="598"/>
      <c r="C73" s="594"/>
      <c r="D73" s="594"/>
      <c r="E73" s="580"/>
      <c r="F73" s="190" t="s">
        <v>12</v>
      </c>
      <c r="G73" s="582"/>
      <c r="H73" s="196"/>
      <c r="I73" s="196"/>
      <c r="J73" s="196"/>
      <c r="K73" s="196"/>
      <c r="L73" s="196"/>
      <c r="M73" s="196"/>
      <c r="N73" s="196"/>
      <c r="O73" s="196"/>
      <c r="P73" s="196"/>
      <c r="Q73" s="196"/>
      <c r="R73" s="196"/>
      <c r="S73" s="196"/>
      <c r="T73" s="196"/>
      <c r="U73" s="196"/>
      <c r="V73" s="196"/>
      <c r="W73" s="196"/>
      <c r="X73" s="196"/>
      <c r="Y73" s="196"/>
      <c r="Z73" s="196"/>
      <c r="AA73" s="196"/>
      <c r="AB73" s="196"/>
      <c r="AC73" s="196"/>
      <c r="AD73" s="196"/>
      <c r="AE73" s="196"/>
      <c r="AF73" s="196"/>
      <c r="AG73" s="196"/>
      <c r="AH73" s="196"/>
      <c r="AI73" s="196"/>
      <c r="AJ73" s="196"/>
      <c r="AK73" s="196"/>
      <c r="AL73" s="196"/>
      <c r="AM73" s="196"/>
      <c r="AN73" s="196"/>
      <c r="AO73" s="196"/>
      <c r="AP73" s="196"/>
      <c r="AQ73" s="196"/>
      <c r="AR73" s="196"/>
      <c r="AS73" s="196"/>
      <c r="AT73" s="196"/>
      <c r="AU73" s="196"/>
      <c r="AV73" s="196"/>
      <c r="AW73" s="196"/>
      <c r="AX73" s="196"/>
      <c r="AY73" s="196"/>
      <c r="AZ73" s="196"/>
      <c r="BA73" s="196"/>
      <c r="BB73" s="196"/>
      <c r="BC73" s="196"/>
      <c r="BD73" s="196">
        <f t="shared" si="33"/>
        <v>0</v>
      </c>
      <c r="BE73" s="596" t="e">
        <f t="shared" ref="BE73" si="35">BD74/BD73</f>
        <v>#DIV/0!</v>
      </c>
      <c r="BF73" s="146"/>
      <c r="BG73" s="146"/>
      <c r="BH73" s="146"/>
      <c r="BI73" s="146"/>
      <c r="BJ73" s="146"/>
      <c r="BK73" s="146"/>
      <c r="BL73" s="146"/>
      <c r="BM73" s="146"/>
      <c r="BN73" s="146"/>
      <c r="BO73" s="146"/>
      <c r="BP73" s="146"/>
      <c r="BQ73" s="146"/>
    </row>
    <row r="74" spans="1:69" ht="15" customHeight="1" x14ac:dyDescent="0.25">
      <c r="A74" s="619"/>
      <c r="B74" s="598"/>
      <c r="C74" s="595"/>
      <c r="D74" s="595"/>
      <c r="E74" s="581"/>
      <c r="F74" s="191" t="s">
        <v>11</v>
      </c>
      <c r="G74" s="582"/>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7"/>
      <c r="AP74" s="57"/>
      <c r="AQ74" s="57"/>
      <c r="AR74" s="57"/>
      <c r="AS74" s="57"/>
      <c r="AT74" s="57"/>
      <c r="AU74" s="57"/>
      <c r="AV74" s="57"/>
      <c r="AW74" s="57"/>
      <c r="AX74" s="57"/>
      <c r="AY74" s="57"/>
      <c r="AZ74" s="57"/>
      <c r="BA74" s="57"/>
      <c r="BB74" s="57"/>
      <c r="BC74" s="57"/>
      <c r="BD74" s="57">
        <f t="shared" si="33"/>
        <v>0</v>
      </c>
      <c r="BE74" s="597"/>
      <c r="BF74" s="146"/>
      <c r="BG74" s="146"/>
      <c r="BH74" s="146"/>
      <c r="BI74" s="146"/>
      <c r="BJ74" s="146"/>
      <c r="BK74" s="146"/>
      <c r="BL74" s="146"/>
      <c r="BM74" s="146"/>
      <c r="BN74" s="146"/>
      <c r="BO74" s="146"/>
      <c r="BP74" s="146"/>
      <c r="BQ74" s="146"/>
    </row>
    <row r="75" spans="1:69" ht="15" customHeight="1" x14ac:dyDescent="0.25">
      <c r="A75" s="619"/>
      <c r="B75" s="598"/>
      <c r="C75" s="594"/>
      <c r="D75" s="594"/>
      <c r="E75" s="580"/>
      <c r="F75" s="190" t="s">
        <v>12</v>
      </c>
      <c r="G75" s="582"/>
      <c r="H75" s="196"/>
      <c r="I75" s="196"/>
      <c r="J75" s="196"/>
      <c r="K75" s="196"/>
      <c r="L75" s="196"/>
      <c r="M75" s="196"/>
      <c r="N75" s="196"/>
      <c r="O75" s="196"/>
      <c r="P75" s="196"/>
      <c r="Q75" s="196"/>
      <c r="R75" s="196"/>
      <c r="S75" s="196"/>
      <c r="T75" s="196"/>
      <c r="U75" s="196"/>
      <c r="V75" s="196"/>
      <c r="W75" s="196"/>
      <c r="X75" s="196"/>
      <c r="Y75" s="196"/>
      <c r="Z75" s="196"/>
      <c r="AA75" s="196"/>
      <c r="AB75" s="196"/>
      <c r="AC75" s="196"/>
      <c r="AD75" s="196"/>
      <c r="AE75" s="196"/>
      <c r="AF75" s="196"/>
      <c r="AG75" s="196"/>
      <c r="AH75" s="196"/>
      <c r="AI75" s="196"/>
      <c r="AJ75" s="196"/>
      <c r="AK75" s="196"/>
      <c r="AL75" s="196"/>
      <c r="AM75" s="196"/>
      <c r="AN75" s="196"/>
      <c r="AO75" s="196"/>
      <c r="AP75" s="196"/>
      <c r="AQ75" s="196"/>
      <c r="AR75" s="196"/>
      <c r="AS75" s="196"/>
      <c r="AT75" s="196"/>
      <c r="AU75" s="196"/>
      <c r="AV75" s="196"/>
      <c r="AW75" s="196"/>
      <c r="AX75" s="196"/>
      <c r="AY75" s="196"/>
      <c r="AZ75" s="196"/>
      <c r="BA75" s="196"/>
      <c r="BB75" s="196"/>
      <c r="BC75" s="196"/>
      <c r="BD75" s="196">
        <f t="shared" si="33"/>
        <v>0</v>
      </c>
      <c r="BE75" s="596" t="e">
        <f t="shared" ref="BE75" si="36">BD76/BD75</f>
        <v>#DIV/0!</v>
      </c>
      <c r="BF75" s="146"/>
      <c r="BG75" s="146"/>
      <c r="BH75" s="146"/>
      <c r="BI75" s="146"/>
      <c r="BJ75" s="146"/>
      <c r="BK75" s="146"/>
      <c r="BL75" s="146"/>
      <c r="BM75" s="146"/>
      <c r="BN75" s="146"/>
      <c r="BO75" s="146"/>
      <c r="BP75" s="146"/>
      <c r="BQ75" s="146"/>
    </row>
    <row r="76" spans="1:69" ht="15" customHeight="1" x14ac:dyDescent="0.25">
      <c r="A76" s="619"/>
      <c r="B76" s="598"/>
      <c r="C76" s="595"/>
      <c r="D76" s="595"/>
      <c r="E76" s="581"/>
      <c r="F76" s="191" t="s">
        <v>11</v>
      </c>
      <c r="G76" s="582"/>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c r="AQ76" s="57"/>
      <c r="AR76" s="57"/>
      <c r="AS76" s="57"/>
      <c r="AT76" s="57"/>
      <c r="AU76" s="57"/>
      <c r="AV76" s="57"/>
      <c r="AW76" s="57"/>
      <c r="AX76" s="57"/>
      <c r="AY76" s="57"/>
      <c r="AZ76" s="57"/>
      <c r="BA76" s="57"/>
      <c r="BB76" s="57"/>
      <c r="BC76" s="57"/>
      <c r="BD76" s="57">
        <f t="shared" si="33"/>
        <v>0</v>
      </c>
      <c r="BE76" s="597"/>
      <c r="BF76" s="146"/>
      <c r="BG76" s="146"/>
      <c r="BH76" s="146"/>
      <c r="BI76" s="146"/>
      <c r="BJ76" s="146"/>
      <c r="BK76" s="146"/>
      <c r="BL76" s="146"/>
      <c r="BM76" s="146"/>
      <c r="BN76" s="146"/>
      <c r="BO76" s="146"/>
      <c r="BP76" s="146"/>
      <c r="BQ76" s="146"/>
    </row>
    <row r="77" spans="1:69" ht="15" customHeight="1" x14ac:dyDescent="0.25">
      <c r="A77" s="619"/>
      <c r="B77" s="598"/>
      <c r="C77" s="594"/>
      <c r="D77" s="594"/>
      <c r="E77" s="580"/>
      <c r="F77" s="190" t="s">
        <v>12</v>
      </c>
      <c r="G77" s="582"/>
      <c r="H77" s="196"/>
      <c r="I77" s="196"/>
      <c r="J77" s="196"/>
      <c r="K77" s="196"/>
      <c r="L77" s="196"/>
      <c r="M77" s="196"/>
      <c r="N77" s="196"/>
      <c r="O77" s="196"/>
      <c r="P77" s="196"/>
      <c r="Q77" s="196"/>
      <c r="R77" s="196"/>
      <c r="S77" s="196"/>
      <c r="T77" s="196"/>
      <c r="U77" s="196"/>
      <c r="V77" s="196"/>
      <c r="W77" s="196"/>
      <c r="X77" s="196"/>
      <c r="Y77" s="196"/>
      <c r="Z77" s="196"/>
      <c r="AA77" s="196"/>
      <c r="AB77" s="196"/>
      <c r="AC77" s="196"/>
      <c r="AD77" s="196"/>
      <c r="AE77" s="196"/>
      <c r="AF77" s="196"/>
      <c r="AG77" s="196"/>
      <c r="AH77" s="196"/>
      <c r="AI77" s="196"/>
      <c r="AJ77" s="196"/>
      <c r="AK77" s="196"/>
      <c r="AL77" s="196"/>
      <c r="AM77" s="196"/>
      <c r="AN77" s="196"/>
      <c r="AO77" s="196"/>
      <c r="AP77" s="196"/>
      <c r="AQ77" s="196"/>
      <c r="AR77" s="196"/>
      <c r="AS77" s="196"/>
      <c r="AT77" s="196"/>
      <c r="AU77" s="196"/>
      <c r="AV77" s="196"/>
      <c r="AW77" s="196"/>
      <c r="AX77" s="196"/>
      <c r="AY77" s="196"/>
      <c r="AZ77" s="196"/>
      <c r="BA77" s="196"/>
      <c r="BB77" s="196"/>
      <c r="BC77" s="196"/>
      <c r="BD77" s="196">
        <f t="shared" si="33"/>
        <v>0</v>
      </c>
      <c r="BE77" s="596" t="e">
        <f t="shared" ref="BE77" si="37">BD78/BD77</f>
        <v>#DIV/0!</v>
      </c>
      <c r="BF77" s="146"/>
      <c r="BG77" s="146"/>
      <c r="BH77" s="146"/>
      <c r="BI77" s="146"/>
      <c r="BJ77" s="146"/>
      <c r="BK77" s="146"/>
      <c r="BL77" s="146"/>
      <c r="BM77" s="146"/>
      <c r="BN77" s="146"/>
      <c r="BO77" s="146"/>
      <c r="BP77" s="146"/>
      <c r="BQ77" s="146"/>
    </row>
    <row r="78" spans="1:69" ht="15" customHeight="1" x14ac:dyDescent="0.25">
      <c r="A78" s="619"/>
      <c r="B78" s="598"/>
      <c r="C78" s="595"/>
      <c r="D78" s="595"/>
      <c r="E78" s="581"/>
      <c r="F78" s="191" t="s">
        <v>11</v>
      </c>
      <c r="G78" s="582"/>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7"/>
      <c r="AK78" s="57"/>
      <c r="AL78" s="57"/>
      <c r="AM78" s="57"/>
      <c r="AN78" s="57"/>
      <c r="AO78" s="57"/>
      <c r="AP78" s="57"/>
      <c r="AQ78" s="57"/>
      <c r="AR78" s="57"/>
      <c r="AS78" s="57"/>
      <c r="AT78" s="57"/>
      <c r="AU78" s="57"/>
      <c r="AV78" s="57"/>
      <c r="AW78" s="57"/>
      <c r="AX78" s="57"/>
      <c r="AY78" s="57"/>
      <c r="AZ78" s="57"/>
      <c r="BA78" s="57"/>
      <c r="BB78" s="57"/>
      <c r="BC78" s="57"/>
      <c r="BD78" s="57">
        <f t="shared" si="33"/>
        <v>0</v>
      </c>
      <c r="BE78" s="597"/>
      <c r="BF78" s="146"/>
      <c r="BG78" s="146"/>
      <c r="BH78" s="146"/>
      <c r="BI78" s="146"/>
      <c r="BJ78" s="146"/>
      <c r="BK78" s="146"/>
      <c r="BL78" s="146"/>
      <c r="BM78" s="146"/>
      <c r="BN78" s="146"/>
      <c r="BO78" s="146"/>
      <c r="BP78" s="146"/>
      <c r="BQ78" s="146"/>
    </row>
    <row r="79" spans="1:69" ht="15" customHeight="1" x14ac:dyDescent="0.25">
      <c r="A79" s="619"/>
      <c r="B79" s="583"/>
      <c r="C79" s="594"/>
      <c r="D79" s="594"/>
      <c r="E79" s="580"/>
      <c r="F79" s="190" t="s">
        <v>12</v>
      </c>
      <c r="G79" s="588"/>
      <c r="H79" s="196"/>
      <c r="I79" s="196"/>
      <c r="J79" s="196"/>
      <c r="K79" s="196"/>
      <c r="L79" s="196"/>
      <c r="M79" s="196"/>
      <c r="N79" s="196"/>
      <c r="O79" s="196"/>
      <c r="P79" s="196"/>
      <c r="Q79" s="196"/>
      <c r="R79" s="196"/>
      <c r="S79" s="196"/>
      <c r="T79" s="196"/>
      <c r="U79" s="196"/>
      <c r="V79" s="196"/>
      <c r="W79" s="196"/>
      <c r="X79" s="196"/>
      <c r="Y79" s="196"/>
      <c r="Z79" s="196"/>
      <c r="AA79" s="196"/>
      <c r="AB79" s="196"/>
      <c r="AC79" s="196"/>
      <c r="AD79" s="196"/>
      <c r="AE79" s="196"/>
      <c r="AF79" s="196"/>
      <c r="AG79" s="196"/>
      <c r="AH79" s="196"/>
      <c r="AI79" s="196"/>
      <c r="AJ79" s="196"/>
      <c r="AK79" s="196"/>
      <c r="AL79" s="196"/>
      <c r="AM79" s="196"/>
      <c r="AN79" s="196"/>
      <c r="AO79" s="196"/>
      <c r="AP79" s="196"/>
      <c r="AQ79" s="196"/>
      <c r="AR79" s="196"/>
      <c r="AS79" s="196"/>
      <c r="AT79" s="196"/>
      <c r="AU79" s="196"/>
      <c r="AV79" s="196"/>
      <c r="AW79" s="196"/>
      <c r="AX79" s="196"/>
      <c r="AY79" s="196"/>
      <c r="AZ79" s="196"/>
      <c r="BA79" s="196"/>
      <c r="BB79" s="196"/>
      <c r="BC79" s="196"/>
      <c r="BD79" s="196">
        <f t="shared" si="33"/>
        <v>0</v>
      </c>
      <c r="BE79" s="596" t="e">
        <f t="shared" ref="BE79" si="38">BD80/BD79</f>
        <v>#DIV/0!</v>
      </c>
      <c r="BF79" s="146"/>
      <c r="BG79" s="146"/>
      <c r="BH79" s="146"/>
      <c r="BI79" s="146"/>
      <c r="BJ79" s="158"/>
      <c r="BK79" s="146"/>
      <c r="BL79" s="146"/>
      <c r="BM79" s="146"/>
      <c r="BN79" s="146"/>
      <c r="BO79" s="146"/>
      <c r="BP79" s="146"/>
      <c r="BQ79" s="146"/>
    </row>
    <row r="80" spans="1:69" x14ac:dyDescent="0.25">
      <c r="A80" s="619"/>
      <c r="B80" s="584"/>
      <c r="C80" s="595"/>
      <c r="D80" s="595"/>
      <c r="E80" s="581"/>
      <c r="F80" s="191" t="s">
        <v>11</v>
      </c>
      <c r="G80" s="589"/>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7"/>
      <c r="AK80" s="57"/>
      <c r="AL80" s="57"/>
      <c r="AM80" s="57"/>
      <c r="AN80" s="57"/>
      <c r="AO80" s="57"/>
      <c r="AP80" s="57"/>
      <c r="AQ80" s="57"/>
      <c r="AR80" s="57"/>
      <c r="AS80" s="57"/>
      <c r="AT80" s="57"/>
      <c r="AU80" s="57"/>
      <c r="AV80" s="57"/>
      <c r="AW80" s="57"/>
      <c r="AX80" s="57"/>
      <c r="AY80" s="57"/>
      <c r="AZ80" s="57"/>
      <c r="BA80" s="57"/>
      <c r="BB80" s="57"/>
      <c r="BC80" s="57"/>
      <c r="BD80" s="57"/>
      <c r="BE80" s="597"/>
      <c r="BF80" s="146"/>
      <c r="BG80" s="146"/>
      <c r="BH80" s="146"/>
      <c r="BI80" s="146"/>
      <c r="BJ80" s="158"/>
      <c r="BK80" s="146"/>
      <c r="BL80" s="146"/>
      <c r="BM80" s="146"/>
      <c r="BN80" s="146"/>
      <c r="BO80" s="146"/>
      <c r="BP80" s="146"/>
      <c r="BQ80" s="146"/>
    </row>
    <row r="81" spans="1:69" ht="18.75" customHeight="1" x14ac:dyDescent="0.25">
      <c r="A81" s="619"/>
      <c r="B81" s="584"/>
      <c r="C81" s="594"/>
      <c r="D81" s="594"/>
      <c r="E81" s="580"/>
      <c r="F81" s="190" t="s">
        <v>12</v>
      </c>
      <c r="G81" s="588"/>
      <c r="H81" s="196"/>
      <c r="I81" s="196"/>
      <c r="J81" s="196"/>
      <c r="K81" s="196"/>
      <c r="L81" s="196"/>
      <c r="M81" s="196"/>
      <c r="N81" s="196"/>
      <c r="O81" s="196"/>
      <c r="P81" s="196"/>
      <c r="Q81" s="196"/>
      <c r="R81" s="196"/>
      <c r="S81" s="196"/>
      <c r="T81" s="196"/>
      <c r="U81" s="196"/>
      <c r="V81" s="196"/>
      <c r="W81" s="196"/>
      <c r="X81" s="196"/>
      <c r="Y81" s="196"/>
      <c r="Z81" s="196"/>
      <c r="AA81" s="196"/>
      <c r="AB81" s="196"/>
      <c r="AC81" s="196"/>
      <c r="AD81" s="196"/>
      <c r="AE81" s="196"/>
      <c r="AF81" s="196"/>
      <c r="AG81" s="196"/>
      <c r="AH81" s="196"/>
      <c r="AI81" s="196"/>
      <c r="AJ81" s="196"/>
      <c r="AK81" s="196"/>
      <c r="AL81" s="196"/>
      <c r="AM81" s="196"/>
      <c r="AN81" s="196"/>
      <c r="AO81" s="196"/>
      <c r="AP81" s="196"/>
      <c r="AQ81" s="196"/>
      <c r="AR81" s="196"/>
      <c r="AS81" s="196"/>
      <c r="AT81" s="196"/>
      <c r="AU81" s="196"/>
      <c r="AV81" s="196"/>
      <c r="AW81" s="196"/>
      <c r="AX81" s="196"/>
      <c r="AY81" s="196"/>
      <c r="AZ81" s="196"/>
      <c r="BA81" s="196"/>
      <c r="BB81" s="196"/>
      <c r="BC81" s="196"/>
      <c r="BD81" s="196"/>
      <c r="BE81" s="596" t="e">
        <f t="shared" ref="BE81" si="39">BD82/BD81</f>
        <v>#DIV/0!</v>
      </c>
      <c r="BF81" s="146"/>
      <c r="BG81" s="146"/>
      <c r="BH81" s="146"/>
      <c r="BI81" s="146"/>
      <c r="BJ81" s="158"/>
      <c r="BK81" s="146"/>
      <c r="BL81" s="146"/>
      <c r="BM81" s="146"/>
      <c r="BN81" s="146"/>
      <c r="BO81" s="146"/>
      <c r="BP81" s="146"/>
      <c r="BQ81" s="146"/>
    </row>
    <row r="82" spans="1:69" ht="15" customHeight="1" x14ac:dyDescent="0.25">
      <c r="A82" s="619"/>
      <c r="B82" s="585"/>
      <c r="C82" s="595"/>
      <c r="D82" s="595"/>
      <c r="E82" s="581"/>
      <c r="F82" s="191" t="s">
        <v>11</v>
      </c>
      <c r="G82" s="589"/>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c r="AG82" s="57"/>
      <c r="AH82" s="57"/>
      <c r="AI82" s="57"/>
      <c r="AJ82" s="57"/>
      <c r="AK82" s="57"/>
      <c r="AL82" s="57"/>
      <c r="AM82" s="57"/>
      <c r="AN82" s="57"/>
      <c r="AO82" s="57"/>
      <c r="AP82" s="57"/>
      <c r="AQ82" s="57"/>
      <c r="AR82" s="57"/>
      <c r="AS82" s="57"/>
      <c r="AT82" s="57"/>
      <c r="AU82" s="57"/>
      <c r="AV82" s="57"/>
      <c r="AW82" s="57"/>
      <c r="AX82" s="57"/>
      <c r="AY82" s="57"/>
      <c r="AZ82" s="57"/>
      <c r="BA82" s="57"/>
      <c r="BB82" s="57"/>
      <c r="BC82" s="57"/>
      <c r="BD82" s="57">
        <f t="shared" si="33"/>
        <v>0</v>
      </c>
      <c r="BE82" s="597"/>
      <c r="BF82" s="146"/>
      <c r="BG82" s="146"/>
      <c r="BH82" s="146"/>
      <c r="BI82" s="146"/>
      <c r="BJ82" s="146"/>
      <c r="BK82" s="146"/>
      <c r="BL82" s="146"/>
      <c r="BM82" s="146"/>
      <c r="BN82" s="146"/>
      <c r="BO82" s="146"/>
      <c r="BP82" s="146"/>
      <c r="BQ82" s="146"/>
    </row>
    <row r="83" spans="1:69" ht="20.25" customHeight="1" x14ac:dyDescent="0.25">
      <c r="A83" s="619"/>
      <c r="B83" s="583"/>
      <c r="C83" s="594"/>
      <c r="D83" s="594"/>
      <c r="E83" s="586"/>
      <c r="F83" s="190" t="s">
        <v>12</v>
      </c>
      <c r="G83" s="588"/>
      <c r="H83" s="196"/>
      <c r="I83" s="196"/>
      <c r="J83" s="196"/>
      <c r="K83" s="196"/>
      <c r="L83" s="196"/>
      <c r="M83" s="196"/>
      <c r="N83" s="196"/>
      <c r="O83" s="196"/>
      <c r="P83" s="196"/>
      <c r="Q83" s="196"/>
      <c r="R83" s="196"/>
      <c r="S83" s="196"/>
      <c r="T83" s="196"/>
      <c r="U83" s="196"/>
      <c r="V83" s="196"/>
      <c r="W83" s="196"/>
      <c r="X83" s="196"/>
      <c r="Y83" s="196"/>
      <c r="Z83" s="196"/>
      <c r="AA83" s="196"/>
      <c r="AB83" s="196"/>
      <c r="AC83" s="196"/>
      <c r="AD83" s="196"/>
      <c r="AE83" s="196"/>
      <c r="AF83" s="196"/>
      <c r="AG83" s="196"/>
      <c r="AH83" s="196"/>
      <c r="AI83" s="196"/>
      <c r="AJ83" s="196"/>
      <c r="AK83" s="196"/>
      <c r="AL83" s="196"/>
      <c r="AM83" s="196"/>
      <c r="AN83" s="196"/>
      <c r="AO83" s="196"/>
      <c r="AP83" s="196"/>
      <c r="AQ83" s="196"/>
      <c r="AR83" s="196"/>
      <c r="AS83" s="196"/>
      <c r="AT83" s="196"/>
      <c r="AU83" s="196"/>
      <c r="AV83" s="196"/>
      <c r="AW83" s="196"/>
      <c r="AX83" s="196"/>
      <c r="AY83" s="196"/>
      <c r="AZ83" s="196"/>
      <c r="BA83" s="196"/>
      <c r="BB83" s="196"/>
      <c r="BC83" s="196"/>
      <c r="BD83" s="196">
        <f t="shared" si="33"/>
        <v>0</v>
      </c>
      <c r="BE83" s="596" t="e">
        <f t="shared" ref="BE83" si="40">BD84/BD83</f>
        <v>#DIV/0!</v>
      </c>
      <c r="BF83" s="146"/>
      <c r="BG83" s="146"/>
      <c r="BH83" s="146"/>
      <c r="BI83" s="146"/>
      <c r="BJ83" s="146"/>
      <c r="BK83" s="146"/>
      <c r="BL83" s="146"/>
      <c r="BM83" s="146"/>
      <c r="BN83" s="146"/>
      <c r="BO83" s="146"/>
      <c r="BP83" s="146"/>
      <c r="BQ83" s="146"/>
    </row>
    <row r="84" spans="1:69" x14ac:dyDescent="0.25">
      <c r="A84" s="619"/>
      <c r="B84" s="584"/>
      <c r="C84" s="595"/>
      <c r="D84" s="595"/>
      <c r="E84" s="587"/>
      <c r="F84" s="191" t="s">
        <v>11</v>
      </c>
      <c r="G84" s="589"/>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c r="AG84" s="57"/>
      <c r="AH84" s="57"/>
      <c r="AI84" s="57"/>
      <c r="AJ84" s="57"/>
      <c r="AK84" s="57"/>
      <c r="AL84" s="57"/>
      <c r="AM84" s="57"/>
      <c r="AN84" s="57"/>
      <c r="AO84" s="57"/>
      <c r="AP84" s="57"/>
      <c r="AQ84" s="57"/>
      <c r="AR84" s="57"/>
      <c r="AS84" s="57"/>
      <c r="AT84" s="57"/>
      <c r="AU84" s="57"/>
      <c r="AV84" s="57"/>
      <c r="AW84" s="57"/>
      <c r="AX84" s="57"/>
      <c r="AY84" s="57"/>
      <c r="AZ84" s="57"/>
      <c r="BA84" s="57"/>
      <c r="BB84" s="57"/>
      <c r="BC84" s="57"/>
      <c r="BD84" s="57">
        <f t="shared" si="33"/>
        <v>0</v>
      </c>
      <c r="BE84" s="597"/>
      <c r="BF84" s="146"/>
      <c r="BG84" s="146"/>
      <c r="BH84" s="146"/>
      <c r="BI84" s="146"/>
      <c r="BJ84" s="146"/>
      <c r="BK84" s="146"/>
      <c r="BL84" s="146"/>
      <c r="BM84" s="146"/>
      <c r="BN84" s="146"/>
      <c r="BO84" s="146"/>
      <c r="BP84" s="146"/>
      <c r="BQ84" s="146"/>
    </row>
    <row r="85" spans="1:69" x14ac:dyDescent="0.25">
      <c r="A85" s="619"/>
      <c r="B85" s="584"/>
      <c r="C85" s="594"/>
      <c r="D85" s="594"/>
      <c r="E85" s="586"/>
      <c r="F85" s="190" t="s">
        <v>12</v>
      </c>
      <c r="G85" s="588"/>
      <c r="H85" s="196"/>
      <c r="I85" s="196"/>
      <c r="J85" s="196"/>
      <c r="K85" s="196"/>
      <c r="L85" s="196"/>
      <c r="M85" s="196"/>
      <c r="N85" s="196"/>
      <c r="O85" s="196"/>
      <c r="P85" s="196"/>
      <c r="Q85" s="196"/>
      <c r="R85" s="196"/>
      <c r="S85" s="196"/>
      <c r="T85" s="196"/>
      <c r="U85" s="196"/>
      <c r="V85" s="196"/>
      <c r="W85" s="196"/>
      <c r="X85" s="196"/>
      <c r="Y85" s="196"/>
      <c r="Z85" s="196"/>
      <c r="AA85" s="196"/>
      <c r="AB85" s="196"/>
      <c r="AC85" s="196"/>
      <c r="AD85" s="196"/>
      <c r="AE85" s="196"/>
      <c r="AF85" s="196"/>
      <c r="AG85" s="196"/>
      <c r="AH85" s="196"/>
      <c r="AI85" s="196"/>
      <c r="AJ85" s="196"/>
      <c r="AK85" s="196"/>
      <c r="AL85" s="196"/>
      <c r="AM85" s="196"/>
      <c r="AN85" s="196"/>
      <c r="AO85" s="196"/>
      <c r="AP85" s="196"/>
      <c r="AQ85" s="196"/>
      <c r="AR85" s="196"/>
      <c r="AS85" s="196"/>
      <c r="AT85" s="196"/>
      <c r="AU85" s="196"/>
      <c r="AV85" s="196"/>
      <c r="AW85" s="196"/>
      <c r="AX85" s="196"/>
      <c r="AY85" s="196"/>
      <c r="AZ85" s="196"/>
      <c r="BA85" s="196"/>
      <c r="BB85" s="196"/>
      <c r="BC85" s="196"/>
      <c r="BD85" s="196">
        <f t="shared" si="33"/>
        <v>0</v>
      </c>
      <c r="BE85" s="596" t="e">
        <f t="shared" ref="BE85" si="41">BD86/BD85</f>
        <v>#DIV/0!</v>
      </c>
      <c r="BF85" s="146"/>
      <c r="BG85" s="146"/>
      <c r="BH85" s="146"/>
      <c r="BI85" s="146"/>
      <c r="BJ85" s="146"/>
      <c r="BK85" s="146"/>
      <c r="BL85" s="146"/>
      <c r="BM85" s="146"/>
      <c r="BN85" s="146"/>
      <c r="BO85" s="146"/>
      <c r="BP85" s="146"/>
      <c r="BQ85" s="146"/>
    </row>
    <row r="86" spans="1:69" ht="20.25" customHeight="1" x14ac:dyDescent="0.25">
      <c r="A86" s="619"/>
      <c r="B86" s="584"/>
      <c r="C86" s="595"/>
      <c r="D86" s="595"/>
      <c r="E86" s="587"/>
      <c r="F86" s="191" t="s">
        <v>11</v>
      </c>
      <c r="G86" s="589"/>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c r="AR86" s="57"/>
      <c r="AS86" s="57"/>
      <c r="AT86" s="57"/>
      <c r="AU86" s="57"/>
      <c r="AV86" s="57"/>
      <c r="AW86" s="57"/>
      <c r="AX86" s="57"/>
      <c r="AY86" s="57"/>
      <c r="AZ86" s="57"/>
      <c r="BA86" s="57"/>
      <c r="BB86" s="57"/>
      <c r="BC86" s="57"/>
      <c r="BD86" s="57">
        <f t="shared" si="33"/>
        <v>0</v>
      </c>
      <c r="BE86" s="597"/>
      <c r="BF86" s="146"/>
      <c r="BG86" s="146"/>
      <c r="BH86" s="146"/>
      <c r="BI86" s="146"/>
      <c r="BJ86" s="146"/>
      <c r="BK86" s="146"/>
      <c r="BL86" s="146"/>
      <c r="BM86" s="146"/>
      <c r="BN86" s="146"/>
      <c r="BO86" s="146"/>
      <c r="BP86" s="146"/>
      <c r="BQ86" s="146"/>
    </row>
    <row r="87" spans="1:69" x14ac:dyDescent="0.25">
      <c r="A87" s="619"/>
      <c r="B87" s="584"/>
      <c r="C87" s="594"/>
      <c r="D87" s="594"/>
      <c r="E87" s="586"/>
      <c r="F87" s="190" t="s">
        <v>12</v>
      </c>
      <c r="G87" s="588"/>
      <c r="H87" s="196"/>
      <c r="I87" s="196"/>
      <c r="J87" s="196"/>
      <c r="K87" s="196"/>
      <c r="L87" s="196"/>
      <c r="M87" s="196"/>
      <c r="N87" s="196"/>
      <c r="O87" s="196"/>
      <c r="P87" s="196"/>
      <c r="Q87" s="196"/>
      <c r="R87" s="196"/>
      <c r="S87" s="196"/>
      <c r="T87" s="196"/>
      <c r="U87" s="196"/>
      <c r="V87" s="196"/>
      <c r="W87" s="196"/>
      <c r="X87" s="196"/>
      <c r="Y87" s="196"/>
      <c r="Z87" s="196"/>
      <c r="AA87" s="196"/>
      <c r="AB87" s="196"/>
      <c r="AC87" s="196"/>
      <c r="AD87" s="196"/>
      <c r="AE87" s="196"/>
      <c r="AF87" s="196"/>
      <c r="AG87" s="196"/>
      <c r="AH87" s="196"/>
      <c r="AI87" s="196"/>
      <c r="AJ87" s="196"/>
      <c r="AK87" s="196"/>
      <c r="AL87" s="196"/>
      <c r="AM87" s="196"/>
      <c r="AN87" s="196"/>
      <c r="AO87" s="196"/>
      <c r="AP87" s="196"/>
      <c r="AQ87" s="196"/>
      <c r="AR87" s="196"/>
      <c r="AS87" s="196"/>
      <c r="AT87" s="196"/>
      <c r="AU87" s="196"/>
      <c r="AV87" s="196"/>
      <c r="AW87" s="196"/>
      <c r="AX87" s="196"/>
      <c r="AY87" s="196"/>
      <c r="AZ87" s="196"/>
      <c r="BA87" s="196"/>
      <c r="BB87" s="196"/>
      <c r="BC87" s="196"/>
      <c r="BD87" s="196">
        <f t="shared" si="33"/>
        <v>0</v>
      </c>
      <c r="BE87" s="596" t="e">
        <f t="shared" ref="BE87" si="42">BD88/BD87</f>
        <v>#DIV/0!</v>
      </c>
      <c r="BF87" s="146"/>
      <c r="BG87" s="146"/>
      <c r="BH87" s="146"/>
      <c r="BI87" s="146"/>
      <c r="BJ87" s="146"/>
      <c r="BK87" s="146"/>
      <c r="BL87" s="146"/>
      <c r="BM87" s="146"/>
      <c r="BN87" s="146"/>
      <c r="BO87" s="146"/>
      <c r="BP87" s="146"/>
      <c r="BQ87" s="146"/>
    </row>
    <row r="88" spans="1:69" x14ac:dyDescent="0.25">
      <c r="A88" s="619"/>
      <c r="B88" s="584"/>
      <c r="C88" s="595"/>
      <c r="D88" s="595"/>
      <c r="E88" s="587"/>
      <c r="F88" s="191" t="s">
        <v>11</v>
      </c>
      <c r="G88" s="589"/>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c r="AQ88" s="57"/>
      <c r="AR88" s="57"/>
      <c r="AS88" s="57"/>
      <c r="AT88" s="57"/>
      <c r="AU88" s="57"/>
      <c r="AV88" s="57"/>
      <c r="AW88" s="57"/>
      <c r="AX88" s="57"/>
      <c r="AY88" s="57"/>
      <c r="AZ88" s="57"/>
      <c r="BA88" s="57"/>
      <c r="BB88" s="57"/>
      <c r="BC88" s="57"/>
      <c r="BD88" s="57">
        <f t="shared" si="33"/>
        <v>0</v>
      </c>
      <c r="BE88" s="597"/>
      <c r="BF88" s="146"/>
      <c r="BG88" s="146"/>
      <c r="BH88" s="146"/>
      <c r="BI88" s="146"/>
      <c r="BJ88" s="146"/>
      <c r="BK88" s="146"/>
      <c r="BL88" s="146"/>
      <c r="BM88" s="146"/>
      <c r="BN88" s="146"/>
      <c r="BO88" s="146"/>
      <c r="BP88" s="146"/>
      <c r="BQ88" s="146"/>
    </row>
    <row r="89" spans="1:69" x14ac:dyDescent="0.25">
      <c r="A89" s="619"/>
      <c r="B89" s="584"/>
      <c r="C89" s="594"/>
      <c r="D89" s="594"/>
      <c r="E89" s="590"/>
      <c r="F89" s="190" t="s">
        <v>12</v>
      </c>
      <c r="G89" s="588"/>
      <c r="H89" s="196"/>
      <c r="I89" s="196"/>
      <c r="J89" s="196"/>
      <c r="K89" s="196"/>
      <c r="L89" s="196"/>
      <c r="M89" s="196"/>
      <c r="N89" s="196"/>
      <c r="O89" s="196"/>
      <c r="P89" s="196"/>
      <c r="Q89" s="196"/>
      <c r="R89" s="196"/>
      <c r="S89" s="196"/>
      <c r="T89" s="196"/>
      <c r="U89" s="196"/>
      <c r="V89" s="196"/>
      <c r="W89" s="196"/>
      <c r="X89" s="196"/>
      <c r="Y89" s="196"/>
      <c r="Z89" s="196"/>
      <c r="AA89" s="196"/>
      <c r="AB89" s="196"/>
      <c r="AC89" s="196"/>
      <c r="AD89" s="196"/>
      <c r="AE89" s="196"/>
      <c r="AF89" s="196"/>
      <c r="AG89" s="196"/>
      <c r="AH89" s="196"/>
      <c r="AI89" s="196"/>
      <c r="AJ89" s="196"/>
      <c r="AK89" s="196"/>
      <c r="AL89" s="196"/>
      <c r="AM89" s="196"/>
      <c r="AN89" s="196"/>
      <c r="AO89" s="196"/>
      <c r="AP89" s="196"/>
      <c r="AQ89" s="196"/>
      <c r="AR89" s="196"/>
      <c r="AS89" s="196"/>
      <c r="AT89" s="196"/>
      <c r="AU89" s="196"/>
      <c r="AV89" s="196"/>
      <c r="AW89" s="196"/>
      <c r="AX89" s="196"/>
      <c r="AY89" s="196"/>
      <c r="AZ89" s="196"/>
      <c r="BA89" s="196"/>
      <c r="BB89" s="196"/>
      <c r="BC89" s="196"/>
      <c r="BD89" s="196">
        <f t="shared" si="33"/>
        <v>0</v>
      </c>
      <c r="BE89" s="596" t="e">
        <f t="shared" ref="BE89" si="43">BD90/BD89</f>
        <v>#DIV/0!</v>
      </c>
      <c r="BF89" s="146"/>
      <c r="BG89" s="146"/>
      <c r="BH89" s="146"/>
      <c r="BI89" s="146"/>
      <c r="BJ89" s="146"/>
      <c r="BK89" s="146"/>
      <c r="BL89" s="146"/>
      <c r="BM89" s="146"/>
      <c r="BN89" s="146"/>
      <c r="BO89" s="146"/>
      <c r="BP89" s="146"/>
      <c r="BQ89" s="146"/>
    </row>
    <row r="90" spans="1:69" x14ac:dyDescent="0.25">
      <c r="A90" s="619"/>
      <c r="B90" s="584"/>
      <c r="C90" s="595"/>
      <c r="D90" s="595"/>
      <c r="E90" s="591"/>
      <c r="F90" s="191" t="s">
        <v>11</v>
      </c>
      <c r="G90" s="589"/>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7"/>
      <c r="AR90" s="57"/>
      <c r="AS90" s="57"/>
      <c r="AT90" s="57"/>
      <c r="AU90" s="57"/>
      <c r="AV90" s="57"/>
      <c r="AW90" s="57"/>
      <c r="AX90" s="57"/>
      <c r="AY90" s="57"/>
      <c r="AZ90" s="57"/>
      <c r="BA90" s="57"/>
      <c r="BB90" s="57"/>
      <c r="BC90" s="57"/>
      <c r="BD90" s="57">
        <f t="shared" si="33"/>
        <v>0</v>
      </c>
      <c r="BE90" s="597"/>
      <c r="BF90" s="146"/>
      <c r="BG90" s="146"/>
      <c r="BH90" s="146"/>
      <c r="BI90" s="146"/>
      <c r="BJ90" s="146"/>
      <c r="BK90" s="146"/>
      <c r="BL90" s="146"/>
      <c r="BM90" s="146"/>
      <c r="BN90" s="146"/>
      <c r="BO90" s="146"/>
      <c r="BP90" s="146"/>
      <c r="BQ90" s="146"/>
    </row>
    <row r="91" spans="1:69" x14ac:dyDescent="0.25">
      <c r="A91" s="619"/>
      <c r="B91" s="584"/>
      <c r="C91" s="594"/>
      <c r="D91" s="594"/>
      <c r="E91" s="590"/>
      <c r="F91" s="190" t="s">
        <v>12</v>
      </c>
      <c r="G91" s="588"/>
      <c r="H91" s="196"/>
      <c r="I91" s="196"/>
      <c r="J91" s="196"/>
      <c r="K91" s="196"/>
      <c r="L91" s="196"/>
      <c r="M91" s="196"/>
      <c r="N91" s="196"/>
      <c r="O91" s="196"/>
      <c r="P91" s="196"/>
      <c r="Q91" s="196"/>
      <c r="R91" s="196"/>
      <c r="S91" s="196"/>
      <c r="T91" s="196"/>
      <c r="U91" s="196"/>
      <c r="V91" s="196"/>
      <c r="W91" s="196"/>
      <c r="X91" s="196"/>
      <c r="Y91" s="196"/>
      <c r="Z91" s="196"/>
      <c r="AA91" s="196"/>
      <c r="AB91" s="196"/>
      <c r="AC91" s="196"/>
      <c r="AD91" s="196"/>
      <c r="AE91" s="196"/>
      <c r="AF91" s="196"/>
      <c r="AG91" s="196"/>
      <c r="AH91" s="196"/>
      <c r="AI91" s="196"/>
      <c r="AJ91" s="196"/>
      <c r="AK91" s="196"/>
      <c r="AL91" s="196"/>
      <c r="AM91" s="196"/>
      <c r="AN91" s="196"/>
      <c r="AO91" s="196"/>
      <c r="AP91" s="196"/>
      <c r="AQ91" s="196"/>
      <c r="AR91" s="196"/>
      <c r="AS91" s="196"/>
      <c r="AT91" s="196"/>
      <c r="AU91" s="196"/>
      <c r="AV91" s="196"/>
      <c r="AW91" s="196"/>
      <c r="AX91" s="196"/>
      <c r="AY91" s="196"/>
      <c r="AZ91" s="196"/>
      <c r="BA91" s="196"/>
      <c r="BB91" s="196"/>
      <c r="BC91" s="196"/>
      <c r="BD91" s="196">
        <f t="shared" si="33"/>
        <v>0</v>
      </c>
      <c r="BE91" s="596" t="e">
        <f t="shared" ref="BE91" si="44">BD92/BD91</f>
        <v>#DIV/0!</v>
      </c>
      <c r="BF91" s="146"/>
      <c r="BG91" s="146"/>
      <c r="BH91" s="146"/>
      <c r="BI91" s="146"/>
      <c r="BJ91" s="146"/>
      <c r="BK91" s="146"/>
      <c r="BL91" s="146"/>
      <c r="BM91" s="146"/>
      <c r="BN91" s="146"/>
      <c r="BO91" s="146"/>
      <c r="BP91" s="146"/>
      <c r="BQ91" s="146"/>
    </row>
    <row r="92" spans="1:69" x14ac:dyDescent="0.25">
      <c r="A92" s="619"/>
      <c r="B92" s="584"/>
      <c r="C92" s="595"/>
      <c r="D92" s="595"/>
      <c r="E92" s="591"/>
      <c r="F92" s="191" t="s">
        <v>11</v>
      </c>
      <c r="G92" s="589"/>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c r="AU92" s="57"/>
      <c r="AV92" s="57"/>
      <c r="AW92" s="57"/>
      <c r="AX92" s="57"/>
      <c r="AY92" s="57"/>
      <c r="AZ92" s="57"/>
      <c r="BA92" s="57"/>
      <c r="BB92" s="57"/>
      <c r="BC92" s="57"/>
      <c r="BD92" s="57">
        <f t="shared" si="33"/>
        <v>0</v>
      </c>
      <c r="BE92" s="597"/>
      <c r="BF92" s="146"/>
      <c r="BG92" s="146"/>
      <c r="BH92" s="146"/>
      <c r="BI92" s="146"/>
      <c r="BJ92" s="146"/>
      <c r="BK92" s="146"/>
      <c r="BL92" s="146"/>
      <c r="BM92" s="146"/>
      <c r="BN92" s="146"/>
      <c r="BO92" s="146"/>
      <c r="BP92" s="146"/>
      <c r="BQ92" s="146"/>
    </row>
    <row r="93" spans="1:69" x14ac:dyDescent="0.25">
      <c r="A93" s="619"/>
      <c r="B93" s="584"/>
      <c r="C93" s="594"/>
      <c r="D93" s="594"/>
      <c r="E93" s="592"/>
      <c r="F93" s="190" t="s">
        <v>12</v>
      </c>
      <c r="G93" s="588"/>
      <c r="H93" s="196"/>
      <c r="I93" s="196"/>
      <c r="J93" s="196"/>
      <c r="K93" s="196"/>
      <c r="L93" s="196"/>
      <c r="M93" s="196"/>
      <c r="N93" s="196"/>
      <c r="O93" s="196"/>
      <c r="P93" s="196"/>
      <c r="Q93" s="196"/>
      <c r="R93" s="196"/>
      <c r="S93" s="196"/>
      <c r="T93" s="196"/>
      <c r="U93" s="196"/>
      <c r="V93" s="196"/>
      <c r="W93" s="196"/>
      <c r="X93" s="196"/>
      <c r="Y93" s="196"/>
      <c r="Z93" s="196"/>
      <c r="AA93" s="196"/>
      <c r="AB93" s="196"/>
      <c r="AC93" s="196"/>
      <c r="AD93" s="196"/>
      <c r="AE93" s="196"/>
      <c r="AF93" s="196"/>
      <c r="AG93" s="196"/>
      <c r="AH93" s="196"/>
      <c r="AI93" s="196"/>
      <c r="AJ93" s="196"/>
      <c r="AK93" s="196"/>
      <c r="AL93" s="196"/>
      <c r="AM93" s="196"/>
      <c r="AN93" s="196"/>
      <c r="AO93" s="196"/>
      <c r="AP93" s="196"/>
      <c r="AQ93" s="196"/>
      <c r="AR93" s="196"/>
      <c r="AS93" s="196"/>
      <c r="AT93" s="196"/>
      <c r="AU93" s="196"/>
      <c r="AV93" s="196"/>
      <c r="AW93" s="196"/>
      <c r="AX93" s="196"/>
      <c r="AY93" s="196"/>
      <c r="AZ93" s="196"/>
      <c r="BA93" s="196"/>
      <c r="BB93" s="196"/>
      <c r="BC93" s="196"/>
      <c r="BD93" s="196">
        <f t="shared" si="33"/>
        <v>0</v>
      </c>
      <c r="BE93" s="596" t="e">
        <f t="shared" ref="BE93" si="45">BD94/BD93</f>
        <v>#DIV/0!</v>
      </c>
      <c r="BF93" s="146"/>
      <c r="BG93" s="146"/>
      <c r="BH93" s="146"/>
      <c r="BI93" s="146"/>
      <c r="BJ93" s="146"/>
      <c r="BK93" s="146"/>
      <c r="BL93" s="146"/>
      <c r="BM93" s="146"/>
      <c r="BN93" s="146"/>
      <c r="BO93" s="146"/>
      <c r="BP93" s="146"/>
      <c r="BQ93" s="146"/>
    </row>
    <row r="94" spans="1:69" x14ac:dyDescent="0.25">
      <c r="A94" s="619"/>
      <c r="B94" s="585"/>
      <c r="C94" s="595"/>
      <c r="D94" s="595"/>
      <c r="E94" s="593"/>
      <c r="F94" s="191" t="s">
        <v>11</v>
      </c>
      <c r="G94" s="589"/>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c r="AR94" s="57"/>
      <c r="AS94" s="57"/>
      <c r="AT94" s="57"/>
      <c r="AU94" s="57"/>
      <c r="AV94" s="57"/>
      <c r="AW94" s="57"/>
      <c r="AX94" s="57"/>
      <c r="AY94" s="57"/>
      <c r="AZ94" s="57"/>
      <c r="BA94" s="57"/>
      <c r="BB94" s="57"/>
      <c r="BC94" s="57"/>
      <c r="BD94" s="57">
        <f t="shared" si="33"/>
        <v>0</v>
      </c>
      <c r="BE94" s="597"/>
      <c r="BF94" s="146"/>
      <c r="BG94" s="146"/>
      <c r="BH94" s="146"/>
      <c r="BI94" s="146"/>
      <c r="BJ94" s="146"/>
      <c r="BK94" s="146"/>
      <c r="BL94" s="146"/>
      <c r="BM94" s="146"/>
      <c r="BN94" s="146"/>
      <c r="BO94" s="146"/>
      <c r="BP94" s="146"/>
      <c r="BQ94" s="146"/>
    </row>
    <row r="95" spans="1:69" ht="15" customHeight="1" x14ac:dyDescent="0.25">
      <c r="A95" s="621"/>
      <c r="B95" s="583"/>
      <c r="C95" s="594"/>
      <c r="D95" s="594"/>
      <c r="E95" s="586"/>
      <c r="F95" s="190" t="s">
        <v>12</v>
      </c>
      <c r="G95" s="588"/>
      <c r="H95" s="196"/>
      <c r="I95" s="196"/>
      <c r="J95" s="196"/>
      <c r="K95" s="196"/>
      <c r="L95" s="196"/>
      <c r="M95" s="196"/>
      <c r="N95" s="196"/>
      <c r="O95" s="196"/>
      <c r="P95" s="196"/>
      <c r="Q95" s="196"/>
      <c r="R95" s="196"/>
      <c r="S95" s="196"/>
      <c r="T95" s="196"/>
      <c r="U95" s="196"/>
      <c r="V95" s="196"/>
      <c r="W95" s="196"/>
      <c r="X95" s="196"/>
      <c r="Y95" s="196"/>
      <c r="Z95" s="196"/>
      <c r="AA95" s="196"/>
      <c r="AB95" s="196"/>
      <c r="AC95" s="196"/>
      <c r="AD95" s="196"/>
      <c r="AE95" s="196"/>
      <c r="AF95" s="196"/>
      <c r="AG95" s="196"/>
      <c r="AH95" s="196"/>
      <c r="AI95" s="196"/>
      <c r="AJ95" s="196"/>
      <c r="AK95" s="196"/>
      <c r="AL95" s="196"/>
      <c r="AM95" s="196"/>
      <c r="AN95" s="196"/>
      <c r="AO95" s="196"/>
      <c r="AP95" s="196"/>
      <c r="AQ95" s="196"/>
      <c r="AR95" s="196"/>
      <c r="AS95" s="196"/>
      <c r="AT95" s="196"/>
      <c r="AU95" s="196"/>
      <c r="AV95" s="196"/>
      <c r="AW95" s="196"/>
      <c r="AX95" s="196"/>
      <c r="AY95" s="196"/>
      <c r="AZ95" s="196"/>
      <c r="BA95" s="196"/>
      <c r="BB95" s="196"/>
      <c r="BC95" s="196"/>
      <c r="BD95" s="196">
        <f t="shared" si="33"/>
        <v>0</v>
      </c>
      <c r="BE95" s="596" t="e">
        <f t="shared" ref="BE95" si="46">BD96/BD95</f>
        <v>#DIV/0!</v>
      </c>
      <c r="BF95" s="146"/>
      <c r="BG95" s="146"/>
      <c r="BH95" s="146"/>
      <c r="BI95" s="146"/>
      <c r="BJ95" s="146"/>
      <c r="BK95" s="146"/>
      <c r="BL95" s="146"/>
      <c r="BM95" s="146"/>
      <c r="BN95" s="146"/>
      <c r="BO95" s="146"/>
      <c r="BP95" s="146"/>
      <c r="BQ95" s="146"/>
    </row>
    <row r="96" spans="1:69" ht="15" customHeight="1" x14ac:dyDescent="0.25">
      <c r="A96" s="621"/>
      <c r="B96" s="584"/>
      <c r="C96" s="595"/>
      <c r="D96" s="595"/>
      <c r="E96" s="587"/>
      <c r="F96" s="190" t="s">
        <v>11</v>
      </c>
      <c r="G96" s="589"/>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57"/>
      <c r="AT96" s="57"/>
      <c r="AU96" s="57"/>
      <c r="AV96" s="57"/>
      <c r="AW96" s="57"/>
      <c r="AX96" s="57"/>
      <c r="AY96" s="57"/>
      <c r="AZ96" s="57"/>
      <c r="BA96" s="57"/>
      <c r="BB96" s="57"/>
      <c r="BC96" s="57"/>
      <c r="BD96" s="57">
        <f t="shared" si="33"/>
        <v>0</v>
      </c>
      <c r="BE96" s="597"/>
      <c r="BF96" s="146"/>
      <c r="BG96" s="146"/>
      <c r="BH96" s="158"/>
      <c r="BI96" s="146"/>
      <c r="BJ96" s="146"/>
      <c r="BK96" s="146"/>
      <c r="BL96" s="146"/>
      <c r="BM96" s="146"/>
      <c r="BN96" s="146"/>
      <c r="BO96" s="146"/>
      <c r="BP96" s="146"/>
      <c r="BQ96" s="146"/>
    </row>
    <row r="97" spans="1:69" ht="15" customHeight="1" x14ac:dyDescent="0.25">
      <c r="A97" s="621"/>
      <c r="B97" s="584"/>
      <c r="C97" s="594"/>
      <c r="D97" s="594"/>
      <c r="E97" s="586"/>
      <c r="F97" s="190" t="s">
        <v>12</v>
      </c>
      <c r="G97" s="588"/>
      <c r="H97" s="196"/>
      <c r="I97" s="196"/>
      <c r="J97" s="196"/>
      <c r="K97" s="196"/>
      <c r="L97" s="196"/>
      <c r="M97" s="196"/>
      <c r="N97" s="196"/>
      <c r="O97" s="196"/>
      <c r="P97" s="196"/>
      <c r="Q97" s="196"/>
      <c r="R97" s="196"/>
      <c r="S97" s="196"/>
      <c r="T97" s="196"/>
      <c r="U97" s="196"/>
      <c r="V97" s="196"/>
      <c r="W97" s="196"/>
      <c r="X97" s="196"/>
      <c r="Y97" s="196"/>
      <c r="Z97" s="196"/>
      <c r="AA97" s="196"/>
      <c r="AB97" s="196"/>
      <c r="AC97" s="196"/>
      <c r="AD97" s="196"/>
      <c r="AE97" s="196"/>
      <c r="AF97" s="196"/>
      <c r="AG97" s="196"/>
      <c r="AH97" s="196"/>
      <c r="AI97" s="196"/>
      <c r="AJ97" s="196"/>
      <c r="AK97" s="196"/>
      <c r="AL97" s="196"/>
      <c r="AM97" s="196"/>
      <c r="AN97" s="196"/>
      <c r="AO97" s="196"/>
      <c r="AP97" s="196"/>
      <c r="AQ97" s="196"/>
      <c r="AR97" s="196"/>
      <c r="AS97" s="196"/>
      <c r="AT97" s="196"/>
      <c r="AU97" s="196"/>
      <c r="AV97" s="196"/>
      <c r="AW97" s="196"/>
      <c r="AX97" s="196"/>
      <c r="AY97" s="196"/>
      <c r="AZ97" s="196"/>
      <c r="BA97" s="196"/>
      <c r="BB97" s="196"/>
      <c r="BC97" s="196"/>
      <c r="BD97" s="196">
        <f t="shared" si="33"/>
        <v>0</v>
      </c>
      <c r="BE97" s="596" t="e">
        <f t="shared" ref="BE97" si="47">BD98/BD97</f>
        <v>#DIV/0!</v>
      </c>
      <c r="BF97" s="146"/>
      <c r="BG97" s="146"/>
      <c r="BH97" s="146"/>
      <c r="BI97" s="146"/>
      <c r="BJ97" s="146"/>
      <c r="BK97" s="146"/>
      <c r="BL97" s="146"/>
      <c r="BM97" s="146"/>
      <c r="BN97" s="146"/>
      <c r="BO97" s="146"/>
      <c r="BP97" s="146"/>
      <c r="BQ97" s="146"/>
    </row>
    <row r="98" spans="1:69" ht="15" customHeight="1" x14ac:dyDescent="0.25">
      <c r="A98" s="621"/>
      <c r="B98" s="584"/>
      <c r="C98" s="595"/>
      <c r="D98" s="595"/>
      <c r="E98" s="587"/>
      <c r="F98" s="191" t="s">
        <v>11</v>
      </c>
      <c r="G98" s="589"/>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c r="AG98" s="57"/>
      <c r="AH98" s="57"/>
      <c r="AI98" s="57"/>
      <c r="AJ98" s="57"/>
      <c r="AK98" s="57"/>
      <c r="AL98" s="57"/>
      <c r="AM98" s="57"/>
      <c r="AN98" s="57"/>
      <c r="AO98" s="57"/>
      <c r="AP98" s="57"/>
      <c r="AQ98" s="57"/>
      <c r="AR98" s="57"/>
      <c r="AS98" s="57"/>
      <c r="AT98" s="57"/>
      <c r="AU98" s="57"/>
      <c r="AV98" s="57"/>
      <c r="AW98" s="57"/>
      <c r="AX98" s="57"/>
      <c r="AY98" s="57"/>
      <c r="AZ98" s="57"/>
      <c r="BA98" s="57"/>
      <c r="BB98" s="57"/>
      <c r="BC98" s="57"/>
      <c r="BD98" s="57">
        <f t="shared" si="33"/>
        <v>0</v>
      </c>
      <c r="BE98" s="597"/>
      <c r="BF98" s="146"/>
      <c r="BG98" s="146"/>
      <c r="BH98" s="146"/>
      <c r="BI98" s="146"/>
      <c r="BJ98" s="146"/>
      <c r="BK98" s="146"/>
      <c r="BL98" s="146"/>
      <c r="BM98" s="146"/>
      <c r="BN98" s="146"/>
      <c r="BO98" s="146"/>
      <c r="BP98" s="146"/>
      <c r="BQ98" s="146"/>
    </row>
    <row r="99" spans="1:69" ht="15" customHeight="1" x14ac:dyDescent="0.25">
      <c r="A99" s="621"/>
      <c r="B99" s="584"/>
      <c r="C99" s="594"/>
      <c r="D99" s="594"/>
      <c r="E99" s="586"/>
      <c r="F99" s="190" t="s">
        <v>12</v>
      </c>
      <c r="G99" s="588"/>
      <c r="H99" s="196"/>
      <c r="I99" s="196"/>
      <c r="J99" s="196"/>
      <c r="K99" s="196"/>
      <c r="L99" s="196"/>
      <c r="M99" s="196"/>
      <c r="N99" s="196"/>
      <c r="O99" s="196"/>
      <c r="P99" s="196"/>
      <c r="Q99" s="196"/>
      <c r="R99" s="196"/>
      <c r="S99" s="196"/>
      <c r="T99" s="196"/>
      <c r="U99" s="196"/>
      <c r="V99" s="196"/>
      <c r="W99" s="196"/>
      <c r="X99" s="196"/>
      <c r="Y99" s="196"/>
      <c r="Z99" s="196"/>
      <c r="AA99" s="196"/>
      <c r="AB99" s="196"/>
      <c r="AC99" s="196"/>
      <c r="AD99" s="196"/>
      <c r="AE99" s="196"/>
      <c r="AF99" s="196"/>
      <c r="AG99" s="196"/>
      <c r="AH99" s="196"/>
      <c r="AI99" s="196"/>
      <c r="AJ99" s="196"/>
      <c r="AK99" s="196"/>
      <c r="AL99" s="196"/>
      <c r="AM99" s="196"/>
      <c r="AN99" s="196"/>
      <c r="AO99" s="196"/>
      <c r="AP99" s="196"/>
      <c r="AQ99" s="196"/>
      <c r="AR99" s="196"/>
      <c r="AS99" s="196"/>
      <c r="AT99" s="196"/>
      <c r="AU99" s="196"/>
      <c r="AV99" s="196"/>
      <c r="AW99" s="196"/>
      <c r="AX99" s="196"/>
      <c r="AY99" s="196"/>
      <c r="AZ99" s="196"/>
      <c r="BA99" s="196"/>
      <c r="BB99" s="196"/>
      <c r="BC99" s="196"/>
      <c r="BD99" s="196">
        <f t="shared" si="33"/>
        <v>0</v>
      </c>
      <c r="BE99" s="596" t="e">
        <f t="shared" ref="BE99" si="48">BD100/BD99</f>
        <v>#DIV/0!</v>
      </c>
      <c r="BF99" s="146"/>
      <c r="BG99" s="146"/>
      <c r="BH99" s="146"/>
      <c r="BI99" s="146"/>
      <c r="BJ99" s="146"/>
      <c r="BK99" s="146"/>
      <c r="BL99" s="146"/>
      <c r="BM99" s="146"/>
      <c r="BN99" s="146"/>
      <c r="BO99" s="146"/>
      <c r="BP99" s="146"/>
      <c r="BQ99" s="146"/>
    </row>
    <row r="100" spans="1:69" ht="15" customHeight="1" x14ac:dyDescent="0.25">
      <c r="A100" s="621"/>
      <c r="B100" s="585"/>
      <c r="C100" s="595"/>
      <c r="D100" s="595"/>
      <c r="E100" s="587"/>
      <c r="F100" s="191" t="s">
        <v>11</v>
      </c>
      <c r="G100" s="589"/>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7"/>
      <c r="AG100" s="57"/>
      <c r="AH100" s="57"/>
      <c r="AI100" s="57"/>
      <c r="AJ100" s="57"/>
      <c r="AK100" s="57"/>
      <c r="AL100" s="57"/>
      <c r="AM100" s="57"/>
      <c r="AN100" s="57"/>
      <c r="AO100" s="57"/>
      <c r="AP100" s="57"/>
      <c r="AQ100" s="57"/>
      <c r="AR100" s="57"/>
      <c r="AS100" s="57"/>
      <c r="AT100" s="57"/>
      <c r="AU100" s="57"/>
      <c r="AV100" s="57"/>
      <c r="AW100" s="57"/>
      <c r="AX100" s="57"/>
      <c r="AY100" s="57"/>
      <c r="AZ100" s="57"/>
      <c r="BA100" s="57"/>
      <c r="BB100" s="57"/>
      <c r="BC100" s="57"/>
      <c r="BD100" s="57">
        <f t="shared" si="33"/>
        <v>0</v>
      </c>
      <c r="BE100" s="597"/>
      <c r="BF100" s="146"/>
      <c r="BG100" s="146"/>
      <c r="BH100" s="146"/>
      <c r="BI100" s="146"/>
      <c r="BJ100" s="146"/>
      <c r="BK100" s="146"/>
      <c r="BL100" s="146"/>
      <c r="BM100" s="146"/>
      <c r="BN100" s="146"/>
      <c r="BO100" s="146"/>
      <c r="BP100" s="146"/>
      <c r="BQ100" s="146"/>
    </row>
    <row r="101" spans="1:69" ht="13.5" customHeight="1" x14ac:dyDescent="0.25">
      <c r="A101" s="621"/>
      <c r="B101" s="622"/>
      <c r="C101" s="594"/>
      <c r="D101" s="594"/>
      <c r="E101" s="586"/>
      <c r="F101" s="190" t="s">
        <v>12</v>
      </c>
      <c r="G101" s="588"/>
      <c r="H101" s="196"/>
      <c r="I101" s="196"/>
      <c r="J101" s="196"/>
      <c r="K101" s="196"/>
      <c r="L101" s="196"/>
      <c r="M101" s="196"/>
      <c r="N101" s="196"/>
      <c r="O101" s="196"/>
      <c r="P101" s="196"/>
      <c r="Q101" s="196"/>
      <c r="R101" s="196"/>
      <c r="S101" s="196"/>
      <c r="T101" s="196"/>
      <c r="U101" s="196"/>
      <c r="V101" s="196"/>
      <c r="W101" s="196"/>
      <c r="X101" s="196"/>
      <c r="Y101" s="196"/>
      <c r="Z101" s="196"/>
      <c r="AA101" s="196"/>
      <c r="AB101" s="196"/>
      <c r="AC101" s="196"/>
      <c r="AD101" s="196"/>
      <c r="AE101" s="196"/>
      <c r="AF101" s="196"/>
      <c r="AG101" s="196"/>
      <c r="AH101" s="196"/>
      <c r="AI101" s="196"/>
      <c r="AJ101" s="196"/>
      <c r="AK101" s="196"/>
      <c r="AL101" s="196"/>
      <c r="AM101" s="196"/>
      <c r="AN101" s="196"/>
      <c r="AO101" s="196"/>
      <c r="AP101" s="196"/>
      <c r="AQ101" s="196"/>
      <c r="AR101" s="196"/>
      <c r="AS101" s="196"/>
      <c r="AT101" s="196"/>
      <c r="AU101" s="196"/>
      <c r="AV101" s="196"/>
      <c r="AW101" s="196"/>
      <c r="AX101" s="196"/>
      <c r="AY101" s="196"/>
      <c r="AZ101" s="196"/>
      <c r="BA101" s="196"/>
      <c r="BB101" s="196"/>
      <c r="BC101" s="196"/>
      <c r="BD101" s="196">
        <f t="shared" si="33"/>
        <v>0</v>
      </c>
      <c r="BE101" s="596" t="e">
        <f t="shared" ref="BE101" si="49">BD102/BD101</f>
        <v>#DIV/0!</v>
      </c>
      <c r="BF101" s="146"/>
      <c r="BG101" s="146"/>
      <c r="BH101" s="146"/>
      <c r="BI101" s="146"/>
      <c r="BJ101" s="146"/>
      <c r="BK101" s="146"/>
      <c r="BL101" s="146"/>
      <c r="BM101" s="146"/>
      <c r="BN101" s="146"/>
      <c r="BO101" s="146"/>
      <c r="BP101" s="146"/>
      <c r="BQ101" s="146"/>
    </row>
    <row r="102" spans="1:69" x14ac:dyDescent="0.25">
      <c r="A102" s="621"/>
      <c r="B102" s="623"/>
      <c r="C102" s="595"/>
      <c r="D102" s="595"/>
      <c r="E102" s="587"/>
      <c r="F102" s="191" t="s">
        <v>11</v>
      </c>
      <c r="G102" s="589"/>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57"/>
      <c r="AG102" s="57"/>
      <c r="AH102" s="57"/>
      <c r="AI102" s="57"/>
      <c r="AJ102" s="57"/>
      <c r="AK102" s="57"/>
      <c r="AL102" s="57"/>
      <c r="AM102" s="57"/>
      <c r="AN102" s="57"/>
      <c r="AO102" s="57"/>
      <c r="AP102" s="57"/>
      <c r="AQ102" s="57"/>
      <c r="AR102" s="57"/>
      <c r="AS102" s="57"/>
      <c r="AT102" s="57"/>
      <c r="AU102" s="57"/>
      <c r="AV102" s="57"/>
      <c r="AW102" s="57"/>
      <c r="AX102" s="57"/>
      <c r="AY102" s="57"/>
      <c r="AZ102" s="57"/>
      <c r="BA102" s="57"/>
      <c r="BB102" s="57"/>
      <c r="BC102" s="57"/>
      <c r="BD102" s="57">
        <f t="shared" si="33"/>
        <v>0</v>
      </c>
      <c r="BE102" s="597"/>
      <c r="BF102" s="146"/>
      <c r="BG102" s="146"/>
      <c r="BH102" s="146"/>
      <c r="BI102" s="146"/>
      <c r="BJ102" s="146"/>
      <c r="BK102" s="146"/>
      <c r="BL102" s="146"/>
      <c r="BM102" s="146"/>
      <c r="BN102" s="146"/>
      <c r="BO102" s="146"/>
      <c r="BP102" s="146"/>
      <c r="BQ102" s="146"/>
    </row>
    <row r="103" spans="1:69" x14ac:dyDescent="0.25">
      <c r="A103" s="621"/>
      <c r="B103" s="623"/>
      <c r="C103" s="594"/>
      <c r="D103" s="594"/>
      <c r="E103" s="586"/>
      <c r="F103" s="190" t="s">
        <v>12</v>
      </c>
      <c r="G103" s="588"/>
      <c r="H103" s="196"/>
      <c r="I103" s="196"/>
      <c r="J103" s="196"/>
      <c r="K103" s="196"/>
      <c r="L103" s="196"/>
      <c r="M103" s="196"/>
      <c r="N103" s="196"/>
      <c r="O103" s="196"/>
      <c r="P103" s="196"/>
      <c r="Q103" s="196"/>
      <c r="R103" s="196"/>
      <c r="S103" s="196"/>
      <c r="T103" s="196"/>
      <c r="U103" s="196"/>
      <c r="V103" s="196"/>
      <c r="W103" s="196"/>
      <c r="X103" s="196"/>
      <c r="Y103" s="196"/>
      <c r="Z103" s="196"/>
      <c r="AA103" s="196"/>
      <c r="AB103" s="196"/>
      <c r="AC103" s="196"/>
      <c r="AD103" s="196"/>
      <c r="AE103" s="196"/>
      <c r="AF103" s="196"/>
      <c r="AG103" s="196"/>
      <c r="AH103" s="196"/>
      <c r="AI103" s="196"/>
      <c r="AJ103" s="196"/>
      <c r="AK103" s="196"/>
      <c r="AL103" s="196"/>
      <c r="AM103" s="196"/>
      <c r="AN103" s="196"/>
      <c r="AO103" s="196"/>
      <c r="AP103" s="196"/>
      <c r="AQ103" s="196"/>
      <c r="AR103" s="196"/>
      <c r="AS103" s="196"/>
      <c r="AT103" s="196"/>
      <c r="AU103" s="196"/>
      <c r="AV103" s="196"/>
      <c r="AW103" s="196"/>
      <c r="AX103" s="196"/>
      <c r="AY103" s="196"/>
      <c r="AZ103" s="196"/>
      <c r="BA103" s="196"/>
      <c r="BB103" s="196"/>
      <c r="BC103" s="196"/>
      <c r="BD103" s="196">
        <f t="shared" si="33"/>
        <v>0</v>
      </c>
      <c r="BE103" s="596" t="e">
        <f t="shared" ref="BE103" si="50">BD104/BD103</f>
        <v>#DIV/0!</v>
      </c>
      <c r="BF103" s="146"/>
      <c r="BG103" s="146"/>
      <c r="BH103" s="146"/>
      <c r="BI103" s="146"/>
      <c r="BJ103" s="146"/>
      <c r="BK103" s="146"/>
      <c r="BL103" s="146"/>
      <c r="BM103" s="146"/>
      <c r="BN103" s="146"/>
      <c r="BO103" s="146"/>
      <c r="BP103" s="146"/>
      <c r="BQ103" s="146"/>
    </row>
    <row r="104" spans="1:69" x14ac:dyDescent="0.25">
      <c r="A104" s="621"/>
      <c r="B104" s="624"/>
      <c r="C104" s="595"/>
      <c r="D104" s="595"/>
      <c r="E104" s="587"/>
      <c r="F104" s="191" t="s">
        <v>11</v>
      </c>
      <c r="G104" s="589"/>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c r="AG104" s="57"/>
      <c r="AH104" s="57"/>
      <c r="AI104" s="57"/>
      <c r="AJ104" s="57"/>
      <c r="AK104" s="57"/>
      <c r="AL104" s="57"/>
      <c r="AM104" s="57"/>
      <c r="AN104" s="57"/>
      <c r="AO104" s="57"/>
      <c r="AP104" s="57"/>
      <c r="AQ104" s="57"/>
      <c r="AR104" s="57"/>
      <c r="AS104" s="57"/>
      <c r="AT104" s="57"/>
      <c r="AU104" s="57"/>
      <c r="AV104" s="57"/>
      <c r="AW104" s="57"/>
      <c r="AX104" s="57"/>
      <c r="AY104" s="57"/>
      <c r="AZ104" s="57"/>
      <c r="BA104" s="57"/>
      <c r="BB104" s="57"/>
      <c r="BC104" s="57"/>
      <c r="BD104" s="57">
        <f t="shared" si="33"/>
        <v>0</v>
      </c>
      <c r="BE104" s="597"/>
      <c r="BF104" s="146"/>
      <c r="BG104" s="146"/>
      <c r="BH104" s="146"/>
      <c r="BI104" s="146"/>
      <c r="BJ104" s="146"/>
      <c r="BK104" s="146"/>
      <c r="BL104" s="146"/>
      <c r="BM104" s="146"/>
      <c r="BN104" s="146"/>
      <c r="BO104" s="146"/>
      <c r="BP104" s="146"/>
      <c r="BQ104" s="146"/>
    </row>
    <row r="105" spans="1:69" x14ac:dyDescent="0.25">
      <c r="B105" s="199"/>
      <c r="C105" s="52"/>
      <c r="D105" s="52"/>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row>
    <row r="106" spans="1:69" ht="16.5" thickBot="1" x14ac:dyDescent="0.3">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row>
    <row r="107" spans="1:69" x14ac:dyDescent="0.25">
      <c r="A107" s="69" t="s">
        <v>14</v>
      </c>
      <c r="B107" s="63" t="s">
        <v>134</v>
      </c>
      <c r="C107" s="193" t="s">
        <v>78</v>
      </c>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row>
    <row r="108" spans="1:69" x14ac:dyDescent="0.25">
      <c r="A108" s="200" t="s">
        <v>138</v>
      </c>
      <c r="B108" s="65">
        <v>1</v>
      </c>
      <c r="C108" s="71" t="e">
        <f>AVERAGE(BE5:BE14)</f>
        <v>#DIV/0!</v>
      </c>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row>
    <row r="109" spans="1:69" x14ac:dyDescent="0.25">
      <c r="A109" s="200" t="s">
        <v>137</v>
      </c>
      <c r="B109" s="65">
        <v>1</v>
      </c>
      <c r="C109" s="71" t="e">
        <f>AVERAGE(BE15:BE54)</f>
        <v>#DIV/0!</v>
      </c>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row>
    <row r="110" spans="1:69" x14ac:dyDescent="0.25">
      <c r="A110" s="200" t="s">
        <v>139</v>
      </c>
      <c r="B110" s="65">
        <v>1</v>
      </c>
      <c r="C110" s="71" t="e">
        <f>AVERAGE(BE55:BE60)</f>
        <v>#DIV/0!</v>
      </c>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row>
    <row r="111" spans="1:69" x14ac:dyDescent="0.25">
      <c r="A111" s="200" t="s">
        <v>268</v>
      </c>
      <c r="B111" s="65">
        <v>1</v>
      </c>
      <c r="C111" s="71" t="e">
        <f>BE61</f>
        <v>#DIV/0!</v>
      </c>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row>
    <row r="112" spans="1:69" x14ac:dyDescent="0.25">
      <c r="A112" s="200" t="s">
        <v>269</v>
      </c>
      <c r="B112" s="65">
        <v>1</v>
      </c>
      <c r="C112" s="71" t="e">
        <f>BE63</f>
        <v>#DIV/0!</v>
      </c>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row>
    <row r="113" spans="1:63" x14ac:dyDescent="0.25">
      <c r="A113" s="200" t="s">
        <v>270</v>
      </c>
      <c r="B113" s="65">
        <v>1</v>
      </c>
      <c r="C113" s="71" t="e">
        <f>AVERAGE(BE65:BE78)</f>
        <v>#DIV/0!</v>
      </c>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row>
    <row r="114" spans="1:63" x14ac:dyDescent="0.25">
      <c r="A114" s="200" t="s">
        <v>271</v>
      </c>
      <c r="B114" s="65">
        <v>1</v>
      </c>
      <c r="C114" s="71" t="e">
        <f>AVERAGE(BE79:BE82)</f>
        <v>#DIV/0!</v>
      </c>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row>
    <row r="115" spans="1:63" x14ac:dyDescent="0.25">
      <c r="A115" s="200" t="s">
        <v>272</v>
      </c>
      <c r="B115" s="65">
        <v>1</v>
      </c>
      <c r="C115" s="71" t="e">
        <f>AVERAGE(BE83:BE94)</f>
        <v>#DIV/0!</v>
      </c>
    </row>
    <row r="116" spans="1:63" x14ac:dyDescent="0.25">
      <c r="A116" s="200" t="s">
        <v>273</v>
      </c>
      <c r="B116" s="65">
        <v>1</v>
      </c>
      <c r="C116" s="71" t="e">
        <f>AVERAGE(BE95:BE100)</f>
        <v>#DIV/0!</v>
      </c>
    </row>
    <row r="117" spans="1:63" x14ac:dyDescent="0.25">
      <c r="A117" s="200" t="s">
        <v>274</v>
      </c>
      <c r="B117" s="65">
        <v>1</v>
      </c>
      <c r="C117" s="71" t="e">
        <f>AVERAGE(BE101:BE104)</f>
        <v>#DIV/0!</v>
      </c>
    </row>
    <row r="118" spans="1:63" x14ac:dyDescent="0.25">
      <c r="A118" s="201" t="s">
        <v>136</v>
      </c>
      <c r="B118" s="211">
        <f>AVERAGE(B108:B117)</f>
        <v>1</v>
      </c>
      <c r="C118" s="210" t="e">
        <f>AVERAGE(C108:C117)</f>
        <v>#DIV/0!</v>
      </c>
    </row>
  </sheetData>
  <mergeCells count="297">
    <mergeCell ref="BN3:BN4"/>
    <mergeCell ref="BO3:BO4"/>
    <mergeCell ref="BP3:BP4"/>
    <mergeCell ref="BQ3:BQ4"/>
    <mergeCell ref="E53:E54"/>
    <mergeCell ref="E79:E80"/>
    <mergeCell ref="G79:G80"/>
    <mergeCell ref="E81:E82"/>
    <mergeCell ref="G81:G82"/>
    <mergeCell ref="BE49:BE50"/>
    <mergeCell ref="BE51:BE52"/>
    <mergeCell ref="BE53:BE54"/>
    <mergeCell ref="BE55:BE56"/>
    <mergeCell ref="BE57:BE58"/>
    <mergeCell ref="BE59:BE60"/>
    <mergeCell ref="BE73:BE74"/>
    <mergeCell ref="BE75:BE76"/>
    <mergeCell ref="BE77:BE78"/>
    <mergeCell ref="BE31:BE32"/>
    <mergeCell ref="BE33:BE34"/>
    <mergeCell ref="BE35:BE36"/>
    <mergeCell ref="BE37:BE38"/>
    <mergeCell ref="BE39:BE40"/>
    <mergeCell ref="BE41:BE42"/>
    <mergeCell ref="A1:G1"/>
    <mergeCell ref="BF3:BF4"/>
    <mergeCell ref="BG3:BG4"/>
    <mergeCell ref="BH3:BH4"/>
    <mergeCell ref="BI3:BI4"/>
    <mergeCell ref="BJ3:BJ4"/>
    <mergeCell ref="BK3:BK4"/>
    <mergeCell ref="BL3:BL4"/>
    <mergeCell ref="BM3:BM4"/>
    <mergeCell ref="BD2:BD4"/>
    <mergeCell ref="BE2:BE4"/>
    <mergeCell ref="C2:D3"/>
    <mergeCell ref="F2:F4"/>
    <mergeCell ref="A2:A4"/>
    <mergeCell ref="B2:B4"/>
    <mergeCell ref="E2:E4"/>
    <mergeCell ref="H2:K2"/>
    <mergeCell ref="BE99:BE100"/>
    <mergeCell ref="BE101:BE102"/>
    <mergeCell ref="BE103:BE104"/>
    <mergeCell ref="BE83:BE84"/>
    <mergeCell ref="BE85:BE86"/>
    <mergeCell ref="BE87:BE88"/>
    <mergeCell ref="BE89:BE90"/>
    <mergeCell ref="BE91:BE92"/>
    <mergeCell ref="BE93:BE94"/>
    <mergeCell ref="BE95:BE96"/>
    <mergeCell ref="BE97:BE98"/>
    <mergeCell ref="BE43:BE44"/>
    <mergeCell ref="BE45:BE46"/>
    <mergeCell ref="BE47:BE48"/>
    <mergeCell ref="BE9:BE10"/>
    <mergeCell ref="BE11:BE12"/>
    <mergeCell ref="BE13:BE14"/>
    <mergeCell ref="BE17:BE18"/>
    <mergeCell ref="BE19:BE20"/>
    <mergeCell ref="BE21:BE22"/>
    <mergeCell ref="BE23:BE24"/>
    <mergeCell ref="BE25:BE26"/>
    <mergeCell ref="BE29:BE30"/>
    <mergeCell ref="A95:A104"/>
    <mergeCell ref="C95:C96"/>
    <mergeCell ref="D95:D96"/>
    <mergeCell ref="C97:C98"/>
    <mergeCell ref="D97:D98"/>
    <mergeCell ref="C99:C100"/>
    <mergeCell ref="D99:D100"/>
    <mergeCell ref="C101:C102"/>
    <mergeCell ref="D101:D102"/>
    <mergeCell ref="C103:C104"/>
    <mergeCell ref="D103:D104"/>
    <mergeCell ref="B101:B104"/>
    <mergeCell ref="A61:A94"/>
    <mergeCell ref="C83:C84"/>
    <mergeCell ref="D83:D84"/>
    <mergeCell ref="B65:B78"/>
    <mergeCell ref="D91:D92"/>
    <mergeCell ref="C93:C94"/>
    <mergeCell ref="D93:D94"/>
    <mergeCell ref="C61:C62"/>
    <mergeCell ref="D61:D62"/>
    <mergeCell ref="C63:C64"/>
    <mergeCell ref="D63:D64"/>
    <mergeCell ref="C65:C66"/>
    <mergeCell ref="D65:D66"/>
    <mergeCell ref="C67:C68"/>
    <mergeCell ref="D67:D68"/>
    <mergeCell ref="C69:C70"/>
    <mergeCell ref="D69:D70"/>
    <mergeCell ref="C79:C80"/>
    <mergeCell ref="D79:D80"/>
    <mergeCell ref="C81:C82"/>
    <mergeCell ref="D81:D82"/>
    <mergeCell ref="C85:C86"/>
    <mergeCell ref="D85:D86"/>
    <mergeCell ref="B79:B82"/>
    <mergeCell ref="G53:G54"/>
    <mergeCell ref="E23:E24"/>
    <mergeCell ref="C23:C24"/>
    <mergeCell ref="D23:D24"/>
    <mergeCell ref="C25:C26"/>
    <mergeCell ref="D25:D26"/>
    <mergeCell ref="G51:G52"/>
    <mergeCell ref="D49:D50"/>
    <mergeCell ref="C51:C52"/>
    <mergeCell ref="C47:C48"/>
    <mergeCell ref="D47:D48"/>
    <mergeCell ref="E51:E52"/>
    <mergeCell ref="C49:C50"/>
    <mergeCell ref="D51:D52"/>
    <mergeCell ref="C53:C54"/>
    <mergeCell ref="D53:D54"/>
    <mergeCell ref="C41:C42"/>
    <mergeCell ref="D41:D42"/>
    <mergeCell ref="E43:E44"/>
    <mergeCell ref="C43:C44"/>
    <mergeCell ref="D43:D44"/>
    <mergeCell ref="C45:C46"/>
    <mergeCell ref="D45:D46"/>
    <mergeCell ref="A5:A60"/>
    <mergeCell ref="B15:B54"/>
    <mergeCell ref="C31:C32"/>
    <mergeCell ref="D31:D32"/>
    <mergeCell ref="C33:C34"/>
    <mergeCell ref="D33:D34"/>
    <mergeCell ref="C35:C36"/>
    <mergeCell ref="D35:D36"/>
    <mergeCell ref="C37:C38"/>
    <mergeCell ref="D37:D38"/>
    <mergeCell ref="C39:C40"/>
    <mergeCell ref="D39:D40"/>
    <mergeCell ref="C9:C10"/>
    <mergeCell ref="D9:D10"/>
    <mergeCell ref="C11:C12"/>
    <mergeCell ref="D11:D12"/>
    <mergeCell ref="C13:C14"/>
    <mergeCell ref="D13:D14"/>
    <mergeCell ref="C15:C16"/>
    <mergeCell ref="D15:D16"/>
    <mergeCell ref="C17:C18"/>
    <mergeCell ref="D17:D18"/>
    <mergeCell ref="C21:C22"/>
    <mergeCell ref="D21:D22"/>
    <mergeCell ref="BE79:BE80"/>
    <mergeCell ref="BE81:BE82"/>
    <mergeCell ref="H1:BC1"/>
    <mergeCell ref="G5:G6"/>
    <mergeCell ref="G7:G8"/>
    <mergeCell ref="AF2:AI2"/>
    <mergeCell ref="AJ2:AM2"/>
    <mergeCell ref="P2:S2"/>
    <mergeCell ref="T2:W2"/>
    <mergeCell ref="BE5:BE6"/>
    <mergeCell ref="AN2:AQ2"/>
    <mergeCell ref="BE7:BE8"/>
    <mergeCell ref="BE15:BE16"/>
    <mergeCell ref="AV2:AY2"/>
    <mergeCell ref="AZ2:BC2"/>
    <mergeCell ref="X2:AA2"/>
    <mergeCell ref="AB2:AE2"/>
    <mergeCell ref="L2:O2"/>
    <mergeCell ref="AR2:AU2"/>
    <mergeCell ref="G9:G10"/>
    <mergeCell ref="G13:G14"/>
    <mergeCell ref="G23:G24"/>
    <mergeCell ref="G37:G38"/>
    <mergeCell ref="G39:G40"/>
    <mergeCell ref="G11:G12"/>
    <mergeCell ref="G15:G16"/>
    <mergeCell ref="G17:G18"/>
    <mergeCell ref="G2:G4"/>
    <mergeCell ref="E49:E50"/>
    <mergeCell ref="G19:G20"/>
    <mergeCell ref="G21:G22"/>
    <mergeCell ref="G25:G26"/>
    <mergeCell ref="G29:G30"/>
    <mergeCell ref="G31:G32"/>
    <mergeCell ref="G35:G36"/>
    <mergeCell ref="G41:G42"/>
    <mergeCell ref="G45:G46"/>
    <mergeCell ref="G49:G50"/>
    <mergeCell ref="E17:E18"/>
    <mergeCell ref="G43:G44"/>
    <mergeCell ref="G47:G48"/>
    <mergeCell ref="E47:E48"/>
    <mergeCell ref="E5:E6"/>
    <mergeCell ref="E7:E8"/>
    <mergeCell ref="E15:E16"/>
    <mergeCell ref="E9:E10"/>
    <mergeCell ref="E45:E46"/>
    <mergeCell ref="E37:E38"/>
    <mergeCell ref="B5:B14"/>
    <mergeCell ref="E11:E12"/>
    <mergeCell ref="E13:E14"/>
    <mergeCell ref="E25:E26"/>
    <mergeCell ref="E31:E32"/>
    <mergeCell ref="E33:E34"/>
    <mergeCell ref="E35:E36"/>
    <mergeCell ref="E39:E40"/>
    <mergeCell ref="E41:E42"/>
    <mergeCell ref="C5:C6"/>
    <mergeCell ref="D5:D6"/>
    <mergeCell ref="C7:C8"/>
    <mergeCell ref="D7:D8"/>
    <mergeCell ref="BH32:BI32"/>
    <mergeCell ref="G33:G34"/>
    <mergeCell ref="BE27:BE28"/>
    <mergeCell ref="E19:E20"/>
    <mergeCell ref="E21:E22"/>
    <mergeCell ref="E29:E30"/>
    <mergeCell ref="C19:C20"/>
    <mergeCell ref="D19:D20"/>
    <mergeCell ref="E27:E28"/>
    <mergeCell ref="C27:C28"/>
    <mergeCell ref="D27:D28"/>
    <mergeCell ref="C29:C30"/>
    <mergeCell ref="D29:D30"/>
    <mergeCell ref="G55:G56"/>
    <mergeCell ref="G57:G58"/>
    <mergeCell ref="E59:E60"/>
    <mergeCell ref="G59:G60"/>
    <mergeCell ref="E55:E56"/>
    <mergeCell ref="E57:E58"/>
    <mergeCell ref="BE63:BE64"/>
    <mergeCell ref="B61:B62"/>
    <mergeCell ref="E61:E62"/>
    <mergeCell ref="G61:G62"/>
    <mergeCell ref="BE61:BE62"/>
    <mergeCell ref="B63:B64"/>
    <mergeCell ref="E63:E64"/>
    <mergeCell ref="G63:G64"/>
    <mergeCell ref="B55:B60"/>
    <mergeCell ref="C55:C56"/>
    <mergeCell ref="D55:D56"/>
    <mergeCell ref="C57:C58"/>
    <mergeCell ref="D57:D58"/>
    <mergeCell ref="C59:C60"/>
    <mergeCell ref="D59:D60"/>
    <mergeCell ref="BE65:BE66"/>
    <mergeCell ref="BE67:BE68"/>
    <mergeCell ref="BE69:BE70"/>
    <mergeCell ref="BE71:BE72"/>
    <mergeCell ref="C87:C88"/>
    <mergeCell ref="D87:D88"/>
    <mergeCell ref="C89:C90"/>
    <mergeCell ref="D89:D90"/>
    <mergeCell ref="C91:C92"/>
    <mergeCell ref="E65:E66"/>
    <mergeCell ref="G65:G66"/>
    <mergeCell ref="E67:E68"/>
    <mergeCell ref="G67:G68"/>
    <mergeCell ref="E69:E70"/>
    <mergeCell ref="G69:G70"/>
    <mergeCell ref="E71:E72"/>
    <mergeCell ref="G71:G72"/>
    <mergeCell ref="E73:E74"/>
    <mergeCell ref="G73:G74"/>
    <mergeCell ref="C71:C72"/>
    <mergeCell ref="D71:D72"/>
    <mergeCell ref="C73:C74"/>
    <mergeCell ref="D73:D74"/>
    <mergeCell ref="C75:C76"/>
    <mergeCell ref="E103:E104"/>
    <mergeCell ref="G103:G104"/>
    <mergeCell ref="B95:B100"/>
    <mergeCell ref="E95:E96"/>
    <mergeCell ref="G95:G96"/>
    <mergeCell ref="E97:E98"/>
    <mergeCell ref="G97:G98"/>
    <mergeCell ref="E99:E100"/>
    <mergeCell ref="G99:G100"/>
    <mergeCell ref="E75:E76"/>
    <mergeCell ref="G75:G76"/>
    <mergeCell ref="E77:E78"/>
    <mergeCell ref="G77:G78"/>
    <mergeCell ref="B83:B94"/>
    <mergeCell ref="E83:E84"/>
    <mergeCell ref="G83:G84"/>
    <mergeCell ref="E101:E102"/>
    <mergeCell ref="G101:G102"/>
    <mergeCell ref="E87:E88"/>
    <mergeCell ref="G87:G88"/>
    <mergeCell ref="E89:E90"/>
    <mergeCell ref="G89:G90"/>
    <mergeCell ref="E91:E92"/>
    <mergeCell ref="G91:G92"/>
    <mergeCell ref="G93:G94"/>
    <mergeCell ref="E93:E94"/>
    <mergeCell ref="D75:D76"/>
    <mergeCell ref="C77:C78"/>
    <mergeCell ref="E85:E86"/>
    <mergeCell ref="G85:G86"/>
    <mergeCell ref="D77:D78"/>
  </mergeCells>
  <phoneticPr fontId="18" type="noConversion"/>
  <conditionalFormatting sqref="BF3:BQ3">
    <cfRule type="cellIs" dxfId="19" priority="69" operator="between">
      <formula>0.00001</formula>
      <formula>0.99</formula>
    </cfRule>
    <cfRule type="cellIs" dxfId="18" priority="70" operator="equal">
      <formula>0</formula>
    </cfRule>
    <cfRule type="cellIs" dxfId="17" priority="71" operator="equal">
      <formula>1</formula>
    </cfRule>
  </conditionalFormatting>
  <conditionalFormatting sqref="H6:BC6 H8:BC8 H10:BC10 H12:BC12 H14:BC14 H16:BC16 H18:BC18 H20:BC20 H22:BC22 H24:BC24 H26:BC26 H28:BC28 H30:BC30 H32:BC32 H34:BC34 H36:BC36 H38:BC38 H40:BC40 H42:BC42 H44:BC44 H46:BC46 H48:BC48 H50:BC50 H52:BC52 H54:BC54 H56:BC56 H58:BC58 H60:BC60 H62:BC62 H64:BC64 H66:BC66 H68:BC68 H70:BC70 H72:BC72 H74:BC74 H76:BC76 H78:BC78 H80:BC80 H82:BC82 H84:BC84 H86:BC86 H88:BC88 H90:BC90 H92:BC92 H94:BC94 H96:BC96 H98:BC98 H100:BC100 H102:BC102 H104:BC104">
    <cfRule type="expression" dxfId="16" priority="5">
      <formula>H6=""</formula>
    </cfRule>
  </conditionalFormatting>
  <conditionalFormatting sqref="BE1:BE2 BE5 BE115:BE1048576 BE7 BE9 BE11 BE13 BE15 BE17 BE19 BE21 BE23 BE25 BE27 BE29 BE31 BE33 BE35 BE37 BE39 BE41 BE43 BE45 BE47 BE49 BE51 BE53 BE55 BE57 BE59 BE61 BE63 BE65 BE67 BE69 BE71 BE73 BE75 BE77 BE79 BE81 BE83 BE85 BE87 BE89 BE91 BE93 BE95 BE97 BE99 BE101 BE103">
    <cfRule type="iconSet" priority="79">
      <iconSet>
        <cfvo type="percent" val="0"/>
        <cfvo type="formula" val="0.3"/>
        <cfvo type="formula" val="0.7" gte="0"/>
      </iconSet>
    </cfRule>
  </conditionalFormatting>
  <conditionalFormatting sqref="H5:BC5 H7:BC7 H9:BC9 H11:BC11 H13:BC13 H15:BC15 H17:BC17 H19:BC19 H21:BC21 H23:BC23 H25:BC25 H27:BC27 H29:BC29 H31:BC31 H33:BC33 H35:BC35 H37:BC37 H39:BC39 H41:BC41 H43:BC43 H45:BC45 H47:BC47 H49:BC49 H51:BC51 H53:BC53 H55:BC55 H57:BC57 H59:BC59 H61:BC61 H63:BC63 H65:BC65 H67:BC67 H69:BC69 H71:BC71 H73:BC73 H75:BC75 H77:BC77 H79:BC79 H81:BC81 H83:BC83 H85:BC85 H87:BC87 H89:BC89 H91:BC91 H93:BC93 H95:BC95 H97:BC97 H99:BC99 H101:BC101 H103:BC103">
    <cfRule type="cellIs" dxfId="15" priority="8" operator="greaterThanOrEqual">
      <formula>1</formula>
    </cfRule>
  </conditionalFormatting>
  <conditionalFormatting sqref="H6:BC6 H8:BC8 H10:BC10 H12:BC12 H14:BC14 H16:BC16 H18:BC18 H20:BC20 H22:BC22 H24:BC24 H26:BC26 H28:BC28 H30:BC30 H32:BC32 H34:BC34 H36:BC36 H38:BC38 H40:BC40 H42:BC42 H44:BC44 H46:BC46 H48:BC48 H50:BC50 H52:BC52 H54:BC54 H56:BC56 H58:BC58 H60:BC60 H62:BC62 H64:BC64 H66:BC66 H68:BC68 H70:BC70 H72:BC72 H74:BC74 H76:BC76 H78:BC78 H80:BC80 H82:BC82 H84:BC84 H86:BC86 H88:BC88 H90:BC90 H92:BC92 H94:BC94 H96:BC96 H98:BC98 H100:BC100 H102:BC102 H104:BC104">
    <cfRule type="expression" dxfId="14" priority="6">
      <formula>H6&lt;H5</formula>
    </cfRule>
    <cfRule type="expression" dxfId="13" priority="7">
      <formula>H6&gt;=H5</formula>
    </cfRule>
  </conditionalFormatting>
  <conditionalFormatting sqref="H80:BC80 H82:BC82">
    <cfRule type="expression" dxfId="12" priority="1">
      <formula>H80=""</formula>
    </cfRule>
  </conditionalFormatting>
  <conditionalFormatting sqref="H79:BC79 H81:BC81">
    <cfRule type="cellIs" dxfId="11" priority="4" operator="greaterThanOrEqual">
      <formula>1</formula>
    </cfRule>
  </conditionalFormatting>
  <conditionalFormatting sqref="H80:BC80 H82:BC82">
    <cfRule type="expression" dxfId="10" priority="2">
      <formula>H80&lt;H79</formula>
    </cfRule>
    <cfRule type="expression" dxfId="9" priority="3">
      <formula>H80&gt;=H79</formula>
    </cfRule>
  </conditionalFormatting>
  <dataValidations count="2">
    <dataValidation allowBlank="1" showInputMessage="1" showErrorMessage="1" prompt="Finalization of the project workplan is the reponsibility of the program team (coordinators) _x000a_functional and technical support from MEAL team in the overall excel template and formulas._x000a_MEAL team should revise carefully the consequence of activities." sqref="A1:G1" xr:uid="{2798B35C-902E-41CC-9C99-EA96D5F939ED}"/>
    <dataValidation allowBlank="1" showInputMessage="1" showErrorMessage="1" prompt="Each project coordinator is responsible to fill the narrative update on the activities' progress on monthly basis" sqref="BF2" xr:uid="{19C6FCF9-EACB-477A-91BE-5CEC34129721}"/>
  </dataValidations>
  <pageMargins left="0.7" right="0.7" top="0.75" bottom="0.75" header="0.3" footer="0.3"/>
  <pageSetup paperSize="9" orientation="portrait" r:id="rId1"/>
  <ignoredErrors>
    <ignoredError sqref="C108:C118 B118"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54B53-73C5-426E-BABF-F977C7A63B9F}">
  <dimension ref="A1"/>
  <sheetViews>
    <sheetView rightToLeft="1" workbookViewId="0"/>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8"/>
  </sheetPr>
  <dimension ref="A1:Z26"/>
  <sheetViews>
    <sheetView topLeftCell="D1" zoomScale="70" zoomScaleNormal="70" workbookViewId="0">
      <selection activeCell="F24" sqref="F24:J25"/>
    </sheetView>
  </sheetViews>
  <sheetFormatPr defaultColWidth="8.7109375" defaultRowHeight="15.75" x14ac:dyDescent="0.25"/>
  <cols>
    <col min="1" max="1" width="14.28515625" style="143" customWidth="1"/>
    <col min="2" max="2" width="48.7109375" style="143" customWidth="1"/>
    <col min="3" max="3" width="53.7109375" style="227" customWidth="1"/>
    <col min="4" max="4" width="15.5703125" style="59" customWidth="1"/>
    <col min="5" max="5" width="15.5703125" style="143" customWidth="1"/>
    <col min="6" max="6" width="10" style="143" customWidth="1"/>
    <col min="7" max="7" width="11.28515625" style="143" customWidth="1"/>
    <col min="8" max="8" width="10.85546875" style="143" customWidth="1"/>
    <col min="9" max="9" width="11.85546875" style="143" customWidth="1"/>
    <col min="10" max="10" width="11" style="143" bestFit="1" customWidth="1"/>
    <col min="11" max="12" width="8.140625" style="143" customWidth="1"/>
    <col min="13" max="13" width="9.5703125" style="143" customWidth="1"/>
    <col min="14" max="14" width="9.28515625" style="143" bestFit="1" customWidth="1"/>
    <col min="15" max="15" width="11" style="143" customWidth="1"/>
    <col min="16" max="16" width="10.28515625" style="143" customWidth="1"/>
    <col min="17" max="17" width="11.85546875" style="143" customWidth="1"/>
    <col min="18" max="18" width="11.42578125" style="143" customWidth="1"/>
    <col min="19" max="19" width="11.7109375" style="143" customWidth="1"/>
    <col min="20" max="20" width="12.28515625" style="143" customWidth="1"/>
    <col min="21" max="21" width="9.7109375" style="143" customWidth="1"/>
    <col min="22" max="22" width="9.7109375" style="143" bestFit="1" customWidth="1"/>
    <col min="23" max="24" width="11" style="143" bestFit="1" customWidth="1"/>
    <col min="25" max="25" width="11" style="143" customWidth="1"/>
    <col min="26" max="26" width="46" style="143" customWidth="1"/>
    <col min="27" max="16384" width="8.7109375" style="143"/>
  </cols>
  <sheetData>
    <row r="1" spans="1:26" ht="30" customHeight="1" thickTop="1" x14ac:dyDescent="0.25">
      <c r="A1" s="675" t="s">
        <v>0</v>
      </c>
      <c r="B1" s="675" t="s">
        <v>1</v>
      </c>
      <c r="C1" s="675" t="s">
        <v>2</v>
      </c>
      <c r="D1" s="675" t="s">
        <v>62</v>
      </c>
      <c r="E1" s="677" t="s">
        <v>3</v>
      </c>
      <c r="F1" s="654" t="s">
        <v>4</v>
      </c>
      <c r="G1" s="655"/>
      <c r="H1" s="655"/>
      <c r="I1" s="655"/>
      <c r="J1" s="649" t="s">
        <v>4</v>
      </c>
      <c r="K1" s="654" t="s">
        <v>5</v>
      </c>
      <c r="L1" s="655"/>
      <c r="M1" s="655"/>
      <c r="N1" s="655"/>
      <c r="O1" s="649" t="s">
        <v>5</v>
      </c>
      <c r="P1" s="654" t="s">
        <v>11</v>
      </c>
      <c r="Q1" s="655"/>
      <c r="R1" s="655"/>
      <c r="S1" s="700"/>
      <c r="T1" s="701" t="s">
        <v>7</v>
      </c>
      <c r="U1" s="654" t="s">
        <v>128</v>
      </c>
      <c r="V1" s="655"/>
      <c r="W1" s="655"/>
      <c r="X1" s="700"/>
      <c r="Y1" s="701" t="s">
        <v>329</v>
      </c>
      <c r="Z1" s="647" t="s">
        <v>63</v>
      </c>
    </row>
    <row r="2" spans="1:26" ht="30" customHeight="1" x14ac:dyDescent="0.25">
      <c r="A2" s="676"/>
      <c r="B2" s="676"/>
      <c r="C2" s="676"/>
      <c r="D2" s="676"/>
      <c r="E2" s="678"/>
      <c r="F2" s="241" t="s">
        <v>304</v>
      </c>
      <c r="G2" s="228" t="s">
        <v>305</v>
      </c>
      <c r="H2" s="228" t="s">
        <v>306</v>
      </c>
      <c r="I2" s="228" t="s">
        <v>307</v>
      </c>
      <c r="J2" s="650"/>
      <c r="K2" s="241" t="s">
        <v>304</v>
      </c>
      <c r="L2" s="228" t="s">
        <v>305</v>
      </c>
      <c r="M2" s="228" t="s">
        <v>306</v>
      </c>
      <c r="N2" s="228" t="s">
        <v>307</v>
      </c>
      <c r="O2" s="650"/>
      <c r="P2" s="241" t="s">
        <v>304</v>
      </c>
      <c r="Q2" s="228" t="s">
        <v>305</v>
      </c>
      <c r="R2" s="228" t="s">
        <v>306</v>
      </c>
      <c r="S2" s="228" t="s">
        <v>307</v>
      </c>
      <c r="T2" s="702"/>
      <c r="U2" s="241" t="s">
        <v>304</v>
      </c>
      <c r="V2" s="228" t="s">
        <v>305</v>
      </c>
      <c r="W2" s="228" t="s">
        <v>306</v>
      </c>
      <c r="X2" s="228" t="s">
        <v>307</v>
      </c>
      <c r="Y2" s="702"/>
      <c r="Z2" s="648"/>
    </row>
    <row r="3" spans="1:26" ht="45.75" customHeight="1" x14ac:dyDescent="0.25">
      <c r="A3" s="647" t="s">
        <v>10</v>
      </c>
      <c r="B3" s="665"/>
      <c r="C3" s="147"/>
      <c r="D3" s="234"/>
      <c r="E3" s="235"/>
      <c r="F3" s="285"/>
      <c r="G3" s="286"/>
      <c r="H3" s="286"/>
      <c r="I3" s="286"/>
      <c r="J3" s="287" t="e">
        <f>AVERAGE(F3:I3)</f>
        <v>#DIV/0!</v>
      </c>
      <c r="K3" s="288"/>
      <c r="L3" s="289"/>
      <c r="M3" s="289"/>
      <c r="N3" s="289"/>
      <c r="O3" s="290" t="e">
        <f>AVERAGE(K3:N3)</f>
        <v>#DIV/0!</v>
      </c>
      <c r="P3" s="242" t="e">
        <f>'Outcome indicators'!AI4</f>
        <v>#DIV/0!</v>
      </c>
      <c r="Q3" s="239" t="e">
        <f>'Outcome indicators'!AJ4</f>
        <v>#DIV/0!</v>
      </c>
      <c r="R3" s="239" t="e">
        <f>'Outcome indicators'!AK4</f>
        <v>#DIV/0!</v>
      </c>
      <c r="S3" s="239" t="e">
        <f>'Outcome indicators'!AL4</f>
        <v>#DIV/0!</v>
      </c>
      <c r="T3" s="243" t="e">
        <f>AVERAGE(P3:Q3)</f>
        <v>#DIV/0!</v>
      </c>
      <c r="U3" s="251" t="e">
        <f>P3/K3</f>
        <v>#DIV/0!</v>
      </c>
      <c r="V3" s="250" t="e">
        <f>Q3/L3</f>
        <v>#DIV/0!</v>
      </c>
      <c r="W3" s="250" t="e">
        <f>R3/M3</f>
        <v>#DIV/0!</v>
      </c>
      <c r="X3" s="250" t="e">
        <f>S3/N3</f>
        <v>#DIV/0!</v>
      </c>
      <c r="Y3" s="252" t="e">
        <f>T3/O3</f>
        <v>#DIV/0!</v>
      </c>
      <c r="Z3" s="311"/>
    </row>
    <row r="4" spans="1:26" x14ac:dyDescent="0.25">
      <c r="A4" s="648"/>
      <c r="B4" s="666"/>
      <c r="C4" s="147"/>
      <c r="D4" s="234"/>
      <c r="E4" s="235"/>
      <c r="F4" s="285"/>
      <c r="G4" s="286"/>
      <c r="H4" s="286"/>
      <c r="I4" s="286"/>
      <c r="J4" s="287" t="e">
        <f>AVERAGE(F4:I4)</f>
        <v>#DIV/0!</v>
      </c>
      <c r="K4" s="288"/>
      <c r="L4" s="289"/>
      <c r="M4" s="289"/>
      <c r="N4" s="289"/>
      <c r="O4" s="290" t="e">
        <f>AVERAGE(K4:N4)</f>
        <v>#DIV/0!</v>
      </c>
      <c r="P4" s="242" t="e">
        <f>'Outcome indicators'!AI5</f>
        <v>#DIV/0!</v>
      </c>
      <c r="Q4" s="239" t="e">
        <f>'Outcome indicators'!AJ5</f>
        <v>#DIV/0!</v>
      </c>
      <c r="R4" s="239" t="e">
        <f>'Outcome indicators'!AK5</f>
        <v>#DIV/0!</v>
      </c>
      <c r="S4" s="239" t="e">
        <f>'Outcome indicators'!AL5</f>
        <v>#DIV/0!</v>
      </c>
      <c r="T4" s="243" t="e">
        <f>AVERAGE(P4:Q4)</f>
        <v>#DIV/0!</v>
      </c>
      <c r="U4" s="251" t="e">
        <f t="shared" ref="U4:X5" si="0">P4/K4</f>
        <v>#DIV/0!</v>
      </c>
      <c r="V4" s="250" t="e">
        <f t="shared" si="0"/>
        <v>#DIV/0!</v>
      </c>
      <c r="W4" s="250" t="e">
        <f t="shared" si="0"/>
        <v>#DIV/0!</v>
      </c>
      <c r="X4" s="250" t="e">
        <f t="shared" si="0"/>
        <v>#DIV/0!</v>
      </c>
      <c r="Y4" s="252" t="e">
        <f t="shared" ref="Y4:Y7" si="1">T4/O4</f>
        <v>#DIV/0!</v>
      </c>
      <c r="Z4" s="311"/>
    </row>
    <row r="5" spans="1:26" ht="30" customHeight="1" x14ac:dyDescent="0.25">
      <c r="A5" s="673" t="s">
        <v>186</v>
      </c>
      <c r="B5" s="673"/>
      <c r="C5" s="674"/>
      <c r="D5" s="234"/>
      <c r="E5" s="235"/>
      <c r="F5" s="291"/>
      <c r="G5" s="292"/>
      <c r="H5" s="292"/>
      <c r="I5" s="292"/>
      <c r="J5" s="293">
        <f>SUM(F5:I5)</f>
        <v>0</v>
      </c>
      <c r="K5" s="294">
        <f t="shared" ref="K5:N5" si="2">SUM(K13:K14,K16,K21,K22:K23)</f>
        <v>0</v>
      </c>
      <c r="L5" s="295">
        <f t="shared" si="2"/>
        <v>0</v>
      </c>
      <c r="M5" s="295">
        <f t="shared" si="2"/>
        <v>0</v>
      </c>
      <c r="N5" s="295">
        <f t="shared" si="2"/>
        <v>0</v>
      </c>
      <c r="O5" s="296">
        <f>SUM(O13:O14,O16,O21,O22:O23)</f>
        <v>0</v>
      </c>
      <c r="P5" s="244">
        <f t="shared" ref="P5:S5" si="3">SUM(P13:P14,P16,P21,P22:P23)</f>
        <v>0</v>
      </c>
      <c r="Q5" s="238">
        <f t="shared" si="3"/>
        <v>0</v>
      </c>
      <c r="R5" s="238">
        <f t="shared" si="3"/>
        <v>0</v>
      </c>
      <c r="S5" s="238">
        <f t="shared" si="3"/>
        <v>0</v>
      </c>
      <c r="T5" s="245">
        <f>SUM(P5:S5)</f>
        <v>0</v>
      </c>
      <c r="U5" s="251" t="e">
        <f t="shared" si="0"/>
        <v>#DIV/0!</v>
      </c>
      <c r="V5" s="250" t="e">
        <f t="shared" si="0"/>
        <v>#DIV/0!</v>
      </c>
      <c r="W5" s="250" t="e">
        <f t="shared" si="0"/>
        <v>#DIV/0!</v>
      </c>
      <c r="X5" s="250" t="e">
        <f t="shared" si="0"/>
        <v>#DIV/0!</v>
      </c>
      <c r="Y5" s="252" t="e">
        <f t="shared" si="1"/>
        <v>#DIV/0!</v>
      </c>
      <c r="Z5" s="311"/>
    </row>
    <row r="6" spans="1:26" ht="30" customHeight="1" x14ac:dyDescent="0.25">
      <c r="A6" s="667" t="s">
        <v>348</v>
      </c>
      <c r="B6" s="148"/>
      <c r="C6" s="147"/>
      <c r="D6" s="234"/>
      <c r="E6" s="235"/>
      <c r="F6" s="651"/>
      <c r="G6" s="652"/>
      <c r="H6" s="652"/>
      <c r="I6" s="653"/>
      <c r="J6" s="293">
        <f>SUM(F6:I6)</f>
        <v>0</v>
      </c>
      <c r="K6" s="656"/>
      <c r="L6" s="657"/>
      <c r="M6" s="657"/>
      <c r="N6" s="657"/>
      <c r="O6" s="658"/>
      <c r="P6" s="659">
        <f>'Outcome indicators'!AI6</f>
        <v>0</v>
      </c>
      <c r="Q6" s="660"/>
      <c r="R6" s="660"/>
      <c r="S6" s="660"/>
      <c r="T6" s="661"/>
      <c r="U6" s="662" t="e">
        <f>P6/K6</f>
        <v>#DIV/0!</v>
      </c>
      <c r="V6" s="663"/>
      <c r="W6" s="663"/>
      <c r="X6" s="663"/>
      <c r="Y6" s="664"/>
      <c r="Z6" s="311"/>
    </row>
    <row r="7" spans="1:26" ht="30" customHeight="1" x14ac:dyDescent="0.25">
      <c r="A7" s="668"/>
      <c r="B7" s="670"/>
      <c r="C7" s="147"/>
      <c r="D7" s="144"/>
      <c r="E7" s="235"/>
      <c r="F7" s="297"/>
      <c r="G7" s="298"/>
      <c r="H7" s="298"/>
      <c r="I7" s="298"/>
      <c r="J7" s="287" t="e">
        <f t="shared" ref="J7:J12" si="4">AVERAGE(F7:I7)</f>
        <v>#DIV/0!</v>
      </c>
      <c r="K7" s="299"/>
      <c r="L7" s="300"/>
      <c r="M7" s="300"/>
      <c r="N7" s="300"/>
      <c r="O7" s="290" t="e">
        <f>AVERAGE(K7:N7)</f>
        <v>#DIV/0!</v>
      </c>
      <c r="P7" s="246" t="e">
        <f>'Outcome indicators'!AI7</f>
        <v>#DIV/0!</v>
      </c>
      <c r="Q7" s="236" t="e">
        <f>'Outcome indicators'!AJ7</f>
        <v>#DIV/0!</v>
      </c>
      <c r="R7" s="236" t="e">
        <f>'Outcome indicators'!AK7</f>
        <v>#DIV/0!</v>
      </c>
      <c r="S7" s="236" t="e">
        <f>'Outcome indicators'!AL7</f>
        <v>#DIV/0!</v>
      </c>
      <c r="T7" s="243" t="e">
        <f>AVERAGE(P7:Q7)</f>
        <v>#DIV/0!</v>
      </c>
      <c r="U7" s="251" t="e">
        <f>P7/K7</f>
        <v>#DIV/0!</v>
      </c>
      <c r="V7" s="250" t="e">
        <f>Q7/L7</f>
        <v>#DIV/0!</v>
      </c>
      <c r="W7" s="250" t="e">
        <f>R7/M7</f>
        <v>#DIV/0!</v>
      </c>
      <c r="X7" s="250" t="e">
        <f>S7/N7</f>
        <v>#DIV/0!</v>
      </c>
      <c r="Y7" s="252" t="e">
        <f t="shared" si="1"/>
        <v>#DIV/0!</v>
      </c>
      <c r="Z7" s="311"/>
    </row>
    <row r="8" spans="1:26" ht="30" customHeight="1" x14ac:dyDescent="0.25">
      <c r="A8" s="668"/>
      <c r="B8" s="672"/>
      <c r="C8" s="147"/>
      <c r="D8" s="144"/>
      <c r="E8" s="240"/>
      <c r="F8" s="297"/>
      <c r="G8" s="298"/>
      <c r="H8" s="298"/>
      <c r="I8" s="298"/>
      <c r="J8" s="287" t="e">
        <f t="shared" si="4"/>
        <v>#DIV/0!</v>
      </c>
      <c r="K8" s="299"/>
      <c r="L8" s="300"/>
      <c r="M8" s="300"/>
      <c r="N8" s="300"/>
      <c r="O8" s="290" t="e">
        <f t="shared" ref="O8:O12" si="5">AVERAGE(K8:N8)</f>
        <v>#DIV/0!</v>
      </c>
      <c r="P8" s="246" t="e">
        <f>'Outcome indicators'!AI8</f>
        <v>#DIV/0!</v>
      </c>
      <c r="Q8" s="236" t="e">
        <f>'Outcome indicators'!AJ8</f>
        <v>#DIV/0!</v>
      </c>
      <c r="R8" s="236" t="e">
        <f>'Outcome indicators'!AK8</f>
        <v>#DIV/0!</v>
      </c>
      <c r="S8" s="236" t="e">
        <f>'Outcome indicators'!AL8</f>
        <v>#DIV/0!</v>
      </c>
      <c r="T8" s="243" t="e">
        <f t="shared" ref="T8:T11" si="6">AVERAGE(P8:Q8)</f>
        <v>#DIV/0!</v>
      </c>
      <c r="U8" s="251" t="e">
        <f t="shared" ref="U8:U11" si="7">P8/K8</f>
        <v>#DIV/0!</v>
      </c>
      <c r="V8" s="250" t="e">
        <f t="shared" ref="V8:V11" si="8">Q8/L8</f>
        <v>#DIV/0!</v>
      </c>
      <c r="W8" s="250" t="e">
        <f t="shared" ref="W8:W11" si="9">R8/M8</f>
        <v>#DIV/0!</v>
      </c>
      <c r="X8" s="250" t="e">
        <f t="shared" ref="X8:X11" si="10">S8/N8</f>
        <v>#DIV/0!</v>
      </c>
      <c r="Y8" s="252" t="e">
        <f t="shared" ref="Y8:Y12" si="11">T8/O8</f>
        <v>#DIV/0!</v>
      </c>
      <c r="Z8" s="311"/>
    </row>
    <row r="9" spans="1:26" ht="30" customHeight="1" x14ac:dyDescent="0.25">
      <c r="A9" s="668"/>
      <c r="B9" s="670"/>
      <c r="C9" s="147"/>
      <c r="D9" s="144"/>
      <c r="E9" s="240"/>
      <c r="F9" s="297"/>
      <c r="G9" s="298"/>
      <c r="H9" s="298"/>
      <c r="I9" s="298"/>
      <c r="J9" s="287" t="e">
        <f t="shared" si="4"/>
        <v>#DIV/0!</v>
      </c>
      <c r="K9" s="299"/>
      <c r="L9" s="300"/>
      <c r="M9" s="300"/>
      <c r="N9" s="300"/>
      <c r="O9" s="290" t="e">
        <f t="shared" si="5"/>
        <v>#DIV/0!</v>
      </c>
      <c r="P9" s="246" t="e">
        <f>'Outcome indicators'!AI9</f>
        <v>#DIV/0!</v>
      </c>
      <c r="Q9" s="236" t="e">
        <f>'Outcome indicators'!AJ9</f>
        <v>#DIV/0!</v>
      </c>
      <c r="R9" s="236" t="e">
        <f>'Outcome indicators'!AK9</f>
        <v>#DIV/0!</v>
      </c>
      <c r="S9" s="236" t="e">
        <f>'Outcome indicators'!AL9</f>
        <v>#DIV/0!</v>
      </c>
      <c r="T9" s="243" t="e">
        <f t="shared" si="6"/>
        <v>#DIV/0!</v>
      </c>
      <c r="U9" s="251" t="e">
        <f t="shared" si="7"/>
        <v>#DIV/0!</v>
      </c>
      <c r="V9" s="250" t="e">
        <f t="shared" si="8"/>
        <v>#DIV/0!</v>
      </c>
      <c r="W9" s="250" t="e">
        <f t="shared" si="9"/>
        <v>#DIV/0!</v>
      </c>
      <c r="X9" s="250" t="e">
        <f t="shared" si="10"/>
        <v>#DIV/0!</v>
      </c>
      <c r="Y9" s="252" t="e">
        <f t="shared" si="11"/>
        <v>#DIV/0!</v>
      </c>
      <c r="Z9" s="311"/>
    </row>
    <row r="10" spans="1:26" ht="30" customHeight="1" x14ac:dyDescent="0.25">
      <c r="A10" s="668"/>
      <c r="B10" s="671"/>
      <c r="C10" s="147"/>
      <c r="D10" s="144"/>
      <c r="E10" s="240"/>
      <c r="F10" s="297"/>
      <c r="G10" s="298"/>
      <c r="H10" s="298"/>
      <c r="I10" s="298"/>
      <c r="J10" s="287" t="e">
        <f t="shared" si="4"/>
        <v>#DIV/0!</v>
      </c>
      <c r="K10" s="299"/>
      <c r="L10" s="300"/>
      <c r="M10" s="300"/>
      <c r="N10" s="300"/>
      <c r="O10" s="290" t="e">
        <f t="shared" si="5"/>
        <v>#DIV/0!</v>
      </c>
      <c r="P10" s="246" t="e">
        <f>'Outcome indicators'!AI10</f>
        <v>#DIV/0!</v>
      </c>
      <c r="Q10" s="236" t="e">
        <f>'Outcome indicators'!AJ10</f>
        <v>#DIV/0!</v>
      </c>
      <c r="R10" s="236" t="e">
        <f>'Outcome indicators'!AK10</f>
        <v>#DIV/0!</v>
      </c>
      <c r="S10" s="236" t="e">
        <f>'Outcome indicators'!AL10</f>
        <v>#DIV/0!</v>
      </c>
      <c r="T10" s="243" t="e">
        <f t="shared" si="6"/>
        <v>#DIV/0!</v>
      </c>
      <c r="U10" s="251" t="e">
        <f t="shared" si="7"/>
        <v>#DIV/0!</v>
      </c>
      <c r="V10" s="250" t="e">
        <f t="shared" si="8"/>
        <v>#DIV/0!</v>
      </c>
      <c r="W10" s="250" t="e">
        <f t="shared" si="9"/>
        <v>#DIV/0!</v>
      </c>
      <c r="X10" s="250" t="e">
        <f t="shared" si="10"/>
        <v>#DIV/0!</v>
      </c>
      <c r="Y10" s="252" t="e">
        <f t="shared" si="11"/>
        <v>#DIV/0!</v>
      </c>
      <c r="Z10" s="311"/>
    </row>
    <row r="11" spans="1:26" ht="30" customHeight="1" x14ac:dyDescent="0.25">
      <c r="A11" s="668"/>
      <c r="B11" s="671"/>
      <c r="C11" s="147"/>
      <c r="D11" s="144"/>
      <c r="E11" s="240"/>
      <c r="F11" s="297"/>
      <c r="G11" s="298"/>
      <c r="H11" s="298"/>
      <c r="I11" s="298"/>
      <c r="J11" s="287" t="e">
        <f t="shared" si="4"/>
        <v>#DIV/0!</v>
      </c>
      <c r="K11" s="299"/>
      <c r="L11" s="300"/>
      <c r="M11" s="300"/>
      <c r="N11" s="300"/>
      <c r="O11" s="290" t="e">
        <f t="shared" si="5"/>
        <v>#DIV/0!</v>
      </c>
      <c r="P11" s="246" t="e">
        <f>'Outcome indicators'!AI11</f>
        <v>#DIV/0!</v>
      </c>
      <c r="Q11" s="236" t="e">
        <f>'Outcome indicators'!AJ11</f>
        <v>#DIV/0!</v>
      </c>
      <c r="R11" s="236" t="e">
        <f>'Outcome indicators'!AK11</f>
        <v>#DIV/0!</v>
      </c>
      <c r="S11" s="236" t="e">
        <f>'Outcome indicators'!AL11</f>
        <v>#DIV/0!</v>
      </c>
      <c r="T11" s="243" t="e">
        <f t="shared" si="6"/>
        <v>#DIV/0!</v>
      </c>
      <c r="U11" s="251" t="e">
        <f t="shared" si="7"/>
        <v>#DIV/0!</v>
      </c>
      <c r="V11" s="250" t="e">
        <f t="shared" si="8"/>
        <v>#DIV/0!</v>
      </c>
      <c r="W11" s="250" t="e">
        <f t="shared" si="9"/>
        <v>#DIV/0!</v>
      </c>
      <c r="X11" s="250" t="e">
        <f t="shared" si="10"/>
        <v>#DIV/0!</v>
      </c>
      <c r="Y11" s="252" t="e">
        <f t="shared" si="11"/>
        <v>#DIV/0!</v>
      </c>
      <c r="Z11" s="311"/>
    </row>
    <row r="12" spans="1:26" ht="30" customHeight="1" x14ac:dyDescent="0.25">
      <c r="A12" s="669"/>
      <c r="B12" s="672"/>
      <c r="C12" s="147"/>
      <c r="D12" s="144"/>
      <c r="E12" s="240"/>
      <c r="F12" s="297"/>
      <c r="G12" s="298"/>
      <c r="H12" s="298"/>
      <c r="I12" s="298"/>
      <c r="J12" s="287" t="e">
        <f t="shared" si="4"/>
        <v>#DIV/0!</v>
      </c>
      <c r="K12" s="299"/>
      <c r="L12" s="300"/>
      <c r="M12" s="300"/>
      <c r="N12" s="300"/>
      <c r="O12" s="290" t="e">
        <f t="shared" si="5"/>
        <v>#DIV/0!</v>
      </c>
      <c r="P12" s="246" t="e">
        <f>'Outcome indicators'!AI12</f>
        <v>#DIV/0!</v>
      </c>
      <c r="Q12" s="236" t="e">
        <f>'Outcome indicators'!AJ12</f>
        <v>#DIV/0!</v>
      </c>
      <c r="R12" s="236" t="e">
        <f>'Outcome indicators'!AK12</f>
        <v>#DIV/0!</v>
      </c>
      <c r="S12" s="236" t="e">
        <f>'Outcome indicators'!AL12</f>
        <v>#DIV/0!</v>
      </c>
      <c r="T12" s="243" t="e">
        <f>AVERAGE(P12:Q12)</f>
        <v>#DIV/0!</v>
      </c>
      <c r="U12" s="251" t="e">
        <f>P12/K12</f>
        <v>#DIV/0!</v>
      </c>
      <c r="V12" s="250" t="e">
        <f>Q12/L12</f>
        <v>#DIV/0!</v>
      </c>
      <c r="W12" s="250" t="e">
        <f>R12/M12</f>
        <v>#DIV/0!</v>
      </c>
      <c r="X12" s="250" t="e">
        <f>S12/N12</f>
        <v>#DIV/0!</v>
      </c>
      <c r="Y12" s="252" t="e">
        <f t="shared" si="11"/>
        <v>#DIV/0!</v>
      </c>
      <c r="Z12" s="311"/>
    </row>
    <row r="13" spans="1:26" ht="30" customHeight="1" x14ac:dyDescent="0.25">
      <c r="A13" s="682" t="s">
        <v>32</v>
      </c>
      <c r="B13" s="685"/>
      <c r="C13" s="147"/>
      <c r="D13" s="144"/>
      <c r="E13" s="235"/>
      <c r="F13" s="301"/>
      <c r="G13" s="302"/>
      <c r="H13" s="302"/>
      <c r="I13" s="302"/>
      <c r="J13" s="293">
        <f>SUM(F13:I13)</f>
        <v>0</v>
      </c>
      <c r="K13" s="303"/>
      <c r="L13" s="304"/>
      <c r="M13" s="304"/>
      <c r="N13" s="304"/>
      <c r="O13" s="305">
        <f>SUM(K13:N13)</f>
        <v>0</v>
      </c>
      <c r="P13" s="247">
        <f>'Output indicators'!AZ4</f>
        <v>0</v>
      </c>
      <c r="Q13" s="237">
        <f>'Output indicators'!BA4</f>
        <v>0</v>
      </c>
      <c r="R13" s="237">
        <f>'Output indicators'!BB4</f>
        <v>0</v>
      </c>
      <c r="S13" s="237">
        <f>'Output indicators'!BC4</f>
        <v>0</v>
      </c>
      <c r="T13" s="248">
        <f>SUM(P13:S13)</f>
        <v>0</v>
      </c>
      <c r="U13" s="251" t="e">
        <f t="shared" ref="U13:U21" si="12">P13/K13</f>
        <v>#DIV/0!</v>
      </c>
      <c r="V13" s="250" t="e">
        <f t="shared" ref="V13:X13" si="13">Q13/L13</f>
        <v>#DIV/0!</v>
      </c>
      <c r="W13" s="250" t="e">
        <f t="shared" si="13"/>
        <v>#DIV/0!</v>
      </c>
      <c r="X13" s="250" t="e">
        <f t="shared" si="13"/>
        <v>#DIV/0!</v>
      </c>
      <c r="Y13" s="252" t="e">
        <f>T13/O13</f>
        <v>#DIV/0!</v>
      </c>
      <c r="Z13" s="312"/>
    </row>
    <row r="14" spans="1:26" ht="30" customHeight="1" x14ac:dyDescent="0.25">
      <c r="A14" s="683"/>
      <c r="B14" s="687"/>
      <c r="C14" s="147"/>
      <c r="D14" s="144"/>
      <c r="E14" s="235"/>
      <c r="F14" s="301"/>
      <c r="G14" s="302"/>
      <c r="H14" s="302"/>
      <c r="I14" s="302"/>
      <c r="J14" s="293">
        <f>SUM(F14:I14)</f>
        <v>0</v>
      </c>
      <c r="K14" s="303"/>
      <c r="L14" s="304"/>
      <c r="M14" s="304"/>
      <c r="N14" s="304"/>
      <c r="O14" s="305">
        <f t="shared" ref="O14:O16" si="14">SUM(K14:N14)</f>
        <v>0</v>
      </c>
      <c r="P14" s="247">
        <f>'Output indicators'!AZ5</f>
        <v>0</v>
      </c>
      <c r="Q14" s="237">
        <f>'Output indicators'!BA5</f>
        <v>0</v>
      </c>
      <c r="R14" s="237">
        <f>'Output indicators'!BB5</f>
        <v>0</v>
      </c>
      <c r="S14" s="237">
        <f>'Output indicators'!BC5</f>
        <v>0</v>
      </c>
      <c r="T14" s="248">
        <f>SUM(P14:S14)</f>
        <v>0</v>
      </c>
      <c r="U14" s="251" t="e">
        <f t="shared" si="12"/>
        <v>#DIV/0!</v>
      </c>
      <c r="V14" s="250" t="e">
        <f t="shared" ref="V14" si="15">Q14/L14</f>
        <v>#DIV/0!</v>
      </c>
      <c r="W14" s="250" t="e">
        <f t="shared" ref="W14" si="16">R14/M14</f>
        <v>#DIV/0!</v>
      </c>
      <c r="X14" s="250" t="e">
        <f t="shared" ref="X14" si="17">S14/N14</f>
        <v>#DIV/0!</v>
      </c>
      <c r="Y14" s="252" t="e">
        <f>T14/O14</f>
        <v>#DIV/0!</v>
      </c>
      <c r="Z14" s="312"/>
    </row>
    <row r="15" spans="1:26" ht="30" customHeight="1" x14ac:dyDescent="0.25">
      <c r="A15" s="683"/>
      <c r="B15" s="149"/>
      <c r="C15" s="147"/>
      <c r="D15" s="144"/>
      <c r="E15" s="235"/>
      <c r="F15" s="688"/>
      <c r="G15" s="689"/>
      <c r="H15" s="689"/>
      <c r="I15" s="689"/>
      <c r="J15" s="690"/>
      <c r="K15" s="691"/>
      <c r="L15" s="692"/>
      <c r="M15" s="692"/>
      <c r="N15" s="692"/>
      <c r="O15" s="693"/>
      <c r="P15" s="712">
        <f>'Output indicators'!D6</f>
        <v>0</v>
      </c>
      <c r="Q15" s="713"/>
      <c r="R15" s="713"/>
      <c r="S15" s="713"/>
      <c r="T15" s="714"/>
      <c r="U15" s="662" t="e">
        <f t="shared" si="12"/>
        <v>#DIV/0!</v>
      </c>
      <c r="V15" s="663"/>
      <c r="W15" s="663"/>
      <c r="X15" s="663"/>
      <c r="Y15" s="664"/>
      <c r="Z15" s="312"/>
    </row>
    <row r="16" spans="1:26" ht="30" customHeight="1" x14ac:dyDescent="0.25">
      <c r="A16" s="683"/>
      <c r="B16" s="685"/>
      <c r="C16" s="147"/>
      <c r="D16" s="144"/>
      <c r="E16" s="235"/>
      <c r="F16" s="301"/>
      <c r="G16" s="302"/>
      <c r="H16" s="302"/>
      <c r="I16" s="302"/>
      <c r="J16" s="293">
        <f>SUM(F16:I16)</f>
        <v>0</v>
      </c>
      <c r="K16" s="306"/>
      <c r="L16" s="307"/>
      <c r="M16" s="307"/>
      <c r="N16" s="307"/>
      <c r="O16" s="308">
        <f t="shared" si="14"/>
        <v>0</v>
      </c>
      <c r="P16" s="247">
        <f>'Output indicators'!AZ7</f>
        <v>0</v>
      </c>
      <c r="Q16" s="237">
        <f>'Output indicators'!BA7</f>
        <v>0</v>
      </c>
      <c r="R16" s="237">
        <f>'Output indicators'!BB7</f>
        <v>0</v>
      </c>
      <c r="S16" s="237">
        <f>'Output indicators'!BC7</f>
        <v>0</v>
      </c>
      <c r="T16" s="249">
        <f>SUM(P16:Q16)</f>
        <v>0</v>
      </c>
      <c r="U16" s="251" t="e">
        <f t="shared" si="12"/>
        <v>#DIV/0!</v>
      </c>
      <c r="V16" s="250" t="e">
        <f>Q16/L16</f>
        <v>#DIV/0!</v>
      </c>
      <c r="W16" s="250" t="e">
        <f>R16/M16</f>
        <v>#DIV/0!</v>
      </c>
      <c r="X16" s="250" t="e">
        <f>S16/N16</f>
        <v>#DIV/0!</v>
      </c>
      <c r="Y16" s="252" t="e">
        <f>T16/O16</f>
        <v>#DIV/0!</v>
      </c>
      <c r="Z16" s="312"/>
    </row>
    <row r="17" spans="1:26" ht="30" customHeight="1" x14ac:dyDescent="0.25">
      <c r="A17" s="683"/>
      <c r="B17" s="686"/>
      <c r="C17" s="147"/>
      <c r="D17" s="144"/>
      <c r="E17" s="235"/>
      <c r="F17" s="688"/>
      <c r="G17" s="689"/>
      <c r="H17" s="689"/>
      <c r="I17" s="689"/>
      <c r="J17" s="690"/>
      <c r="K17" s="694"/>
      <c r="L17" s="695"/>
      <c r="M17" s="695"/>
      <c r="N17" s="695"/>
      <c r="O17" s="696"/>
      <c r="P17" s="697">
        <f>'Output indicators'!AZ8</f>
        <v>0</v>
      </c>
      <c r="Q17" s="698"/>
      <c r="R17" s="698"/>
      <c r="S17" s="698"/>
      <c r="T17" s="699"/>
      <c r="U17" s="662" t="e">
        <f t="shared" si="12"/>
        <v>#DIV/0!</v>
      </c>
      <c r="V17" s="663"/>
      <c r="W17" s="663"/>
      <c r="X17" s="663"/>
      <c r="Y17" s="664"/>
      <c r="Z17" s="312"/>
    </row>
    <row r="18" spans="1:26" ht="30" customHeight="1" x14ac:dyDescent="0.25">
      <c r="A18" s="683"/>
      <c r="B18" s="687"/>
      <c r="C18" s="147"/>
      <c r="D18" s="144"/>
      <c r="E18" s="235"/>
      <c r="F18" s="688"/>
      <c r="G18" s="689"/>
      <c r="H18" s="689"/>
      <c r="I18" s="689"/>
      <c r="J18" s="690"/>
      <c r="K18" s="694"/>
      <c r="L18" s="695"/>
      <c r="M18" s="695"/>
      <c r="N18" s="695"/>
      <c r="O18" s="696"/>
      <c r="P18" s="697">
        <f>'Output indicators'!AZ9</f>
        <v>0</v>
      </c>
      <c r="Q18" s="698"/>
      <c r="R18" s="698"/>
      <c r="S18" s="698"/>
      <c r="T18" s="699"/>
      <c r="U18" s="662" t="e">
        <f t="shared" si="12"/>
        <v>#DIV/0!</v>
      </c>
      <c r="V18" s="663"/>
      <c r="W18" s="663"/>
      <c r="X18" s="663"/>
      <c r="Y18" s="664"/>
      <c r="Z18" s="312"/>
    </row>
    <row r="19" spans="1:26" ht="30" customHeight="1" x14ac:dyDescent="0.25">
      <c r="A19" s="683"/>
      <c r="B19" s="149"/>
      <c r="C19" s="147"/>
      <c r="D19" s="144"/>
      <c r="E19" s="235"/>
      <c r="F19" s="688"/>
      <c r="G19" s="689"/>
      <c r="H19" s="689"/>
      <c r="I19" s="689"/>
      <c r="J19" s="690"/>
      <c r="K19" s="694"/>
      <c r="L19" s="695"/>
      <c r="M19" s="695"/>
      <c r="N19" s="695"/>
      <c r="O19" s="696"/>
      <c r="P19" s="697">
        <f>'Output indicators'!AZ10</f>
        <v>0</v>
      </c>
      <c r="Q19" s="698"/>
      <c r="R19" s="698"/>
      <c r="S19" s="698"/>
      <c r="T19" s="699"/>
      <c r="U19" s="662" t="e">
        <f t="shared" si="12"/>
        <v>#DIV/0!</v>
      </c>
      <c r="V19" s="663"/>
      <c r="W19" s="663"/>
      <c r="X19" s="663"/>
      <c r="Y19" s="664"/>
      <c r="Z19" s="312"/>
    </row>
    <row r="20" spans="1:26" ht="30" customHeight="1" x14ac:dyDescent="0.25">
      <c r="A20" s="683"/>
      <c r="B20" s="685"/>
      <c r="C20" s="147"/>
      <c r="D20" s="144"/>
      <c r="E20" s="235"/>
      <c r="F20" s="688"/>
      <c r="G20" s="689"/>
      <c r="H20" s="689"/>
      <c r="I20" s="689"/>
      <c r="J20" s="690"/>
      <c r="K20" s="694"/>
      <c r="L20" s="695"/>
      <c r="M20" s="695"/>
      <c r="N20" s="695"/>
      <c r="O20" s="696"/>
      <c r="P20" s="697">
        <f>'Output indicators'!AZ11</f>
        <v>0</v>
      </c>
      <c r="Q20" s="698"/>
      <c r="R20" s="698"/>
      <c r="S20" s="698"/>
      <c r="T20" s="699"/>
      <c r="U20" s="662" t="e">
        <f t="shared" si="12"/>
        <v>#DIV/0!</v>
      </c>
      <c r="V20" s="663"/>
      <c r="W20" s="663"/>
      <c r="X20" s="663"/>
      <c r="Y20" s="664"/>
      <c r="Z20" s="312"/>
    </row>
    <row r="21" spans="1:26" ht="30" customHeight="1" x14ac:dyDescent="0.25">
      <c r="A21" s="683"/>
      <c r="B21" s="687"/>
      <c r="C21" s="147"/>
      <c r="D21" s="144"/>
      <c r="E21" s="235"/>
      <c r="F21" s="309"/>
      <c r="G21" s="310"/>
      <c r="H21" s="310"/>
      <c r="I21" s="310"/>
      <c r="J21" s="293">
        <f>SUM(F21:I21)</f>
        <v>0</v>
      </c>
      <c r="K21" s="303"/>
      <c r="L21" s="304"/>
      <c r="M21" s="304"/>
      <c r="N21" s="304"/>
      <c r="O21" s="308">
        <f t="shared" ref="O21:O23" si="18">SUM(K21:N21)</f>
        <v>0</v>
      </c>
      <c r="P21" s="247">
        <f>'Output indicators'!AZ12</f>
        <v>0</v>
      </c>
      <c r="Q21" s="237">
        <f>'Output indicators'!BA12</f>
        <v>0</v>
      </c>
      <c r="R21" s="237">
        <f>'Output indicators'!BB12</f>
        <v>0</v>
      </c>
      <c r="S21" s="237">
        <f>'Output indicators'!BC12</f>
        <v>0</v>
      </c>
      <c r="T21" s="248">
        <f>SUM(P21:Q21)</f>
        <v>0</v>
      </c>
      <c r="U21" s="251" t="e">
        <f t="shared" si="12"/>
        <v>#DIV/0!</v>
      </c>
      <c r="V21" s="250" t="e">
        <f>Q21/L21</f>
        <v>#DIV/0!</v>
      </c>
      <c r="W21" s="250" t="e">
        <f>R21/M21</f>
        <v>#DIV/0!</v>
      </c>
      <c r="X21" s="250" t="e">
        <f>S21/N21</f>
        <v>#DIV/0!</v>
      </c>
      <c r="Y21" s="252" t="e">
        <f>T21/O21</f>
        <v>#DIV/0!</v>
      </c>
      <c r="Z21" s="312"/>
    </row>
    <row r="22" spans="1:26" ht="30" customHeight="1" x14ac:dyDescent="0.25">
      <c r="A22" s="683"/>
      <c r="B22" s="685"/>
      <c r="C22" s="147"/>
      <c r="D22" s="144"/>
      <c r="E22" s="235"/>
      <c r="F22" s="309"/>
      <c r="G22" s="310"/>
      <c r="H22" s="310"/>
      <c r="I22" s="310"/>
      <c r="J22" s="293">
        <f>SUM(F22:I22)</f>
        <v>0</v>
      </c>
      <c r="K22" s="303"/>
      <c r="L22" s="304"/>
      <c r="M22" s="304"/>
      <c r="N22" s="304"/>
      <c r="O22" s="308">
        <f t="shared" si="18"/>
        <v>0</v>
      </c>
      <c r="P22" s="247">
        <f>'Output indicators'!AZ13</f>
        <v>0</v>
      </c>
      <c r="Q22" s="237">
        <f>'Output indicators'!BA13</f>
        <v>0</v>
      </c>
      <c r="R22" s="237">
        <f>'Output indicators'!BB13</f>
        <v>0</v>
      </c>
      <c r="S22" s="237">
        <f>'Output indicators'!BC13</f>
        <v>0</v>
      </c>
      <c r="T22" s="248">
        <f t="shared" ref="T22:T23" si="19">SUM(P22:Q22)</f>
        <v>0</v>
      </c>
      <c r="U22" s="251" t="e">
        <f t="shared" ref="U22:U23" si="20">P22/K22</f>
        <v>#DIV/0!</v>
      </c>
      <c r="V22" s="250" t="e">
        <f t="shared" ref="V22:V23" si="21">Q22/L22</f>
        <v>#DIV/0!</v>
      </c>
      <c r="W22" s="250" t="e">
        <f t="shared" ref="W22:W23" si="22">R22/M22</f>
        <v>#DIV/0!</v>
      </c>
      <c r="X22" s="250" t="e">
        <f t="shared" ref="X22:X23" si="23">S22/N22</f>
        <v>#DIV/0!</v>
      </c>
      <c r="Y22" s="252" t="e">
        <f t="shared" ref="Y22:Y23" si="24">T22/O22</f>
        <v>#DIV/0!</v>
      </c>
      <c r="Z22" s="312"/>
    </row>
    <row r="23" spans="1:26" ht="30" customHeight="1" x14ac:dyDescent="0.25">
      <c r="A23" s="683"/>
      <c r="B23" s="686"/>
      <c r="C23" s="147"/>
      <c r="D23" s="144"/>
      <c r="E23" s="235"/>
      <c r="F23" s="309"/>
      <c r="G23" s="310"/>
      <c r="H23" s="310"/>
      <c r="I23" s="310"/>
      <c r="J23" s="293">
        <f>SUM(F23:I23)</f>
        <v>0</v>
      </c>
      <c r="K23" s="303"/>
      <c r="L23" s="304"/>
      <c r="M23" s="304"/>
      <c r="N23" s="304"/>
      <c r="O23" s="308">
        <f t="shared" si="18"/>
        <v>0</v>
      </c>
      <c r="P23" s="247">
        <f>'Output indicators'!AZ14</f>
        <v>0</v>
      </c>
      <c r="Q23" s="237">
        <f>'Output indicators'!BA14</f>
        <v>0</v>
      </c>
      <c r="R23" s="237">
        <f>'Output indicators'!BB14</f>
        <v>0</v>
      </c>
      <c r="S23" s="237">
        <f>'Output indicators'!BC14</f>
        <v>0</v>
      </c>
      <c r="T23" s="248">
        <f t="shared" si="19"/>
        <v>0</v>
      </c>
      <c r="U23" s="251" t="e">
        <f t="shared" si="20"/>
        <v>#DIV/0!</v>
      </c>
      <c r="V23" s="250" t="e">
        <f t="shared" si="21"/>
        <v>#DIV/0!</v>
      </c>
      <c r="W23" s="250" t="e">
        <f t="shared" si="22"/>
        <v>#DIV/0!</v>
      </c>
      <c r="X23" s="250" t="e">
        <f t="shared" si="23"/>
        <v>#DIV/0!</v>
      </c>
      <c r="Y23" s="252" t="e">
        <f t="shared" si="24"/>
        <v>#DIV/0!</v>
      </c>
      <c r="Z23" s="312"/>
    </row>
    <row r="24" spans="1:26" ht="30" customHeight="1" x14ac:dyDescent="0.25">
      <c r="A24" s="683"/>
      <c r="B24" s="686"/>
      <c r="C24" s="147"/>
      <c r="D24" s="144"/>
      <c r="E24" s="235"/>
      <c r="F24" s="688"/>
      <c r="G24" s="689"/>
      <c r="H24" s="689"/>
      <c r="I24" s="689"/>
      <c r="J24" s="690"/>
      <c r="K24" s="691"/>
      <c r="L24" s="692"/>
      <c r="M24" s="692"/>
      <c r="N24" s="692"/>
      <c r="O24" s="693"/>
      <c r="P24" s="697">
        <f>'Output indicators'!AZ15</f>
        <v>0</v>
      </c>
      <c r="Q24" s="698"/>
      <c r="R24" s="698"/>
      <c r="S24" s="698"/>
      <c r="T24" s="699"/>
      <c r="U24" s="662" t="e">
        <f>P24/K24</f>
        <v>#DIV/0!</v>
      </c>
      <c r="V24" s="663"/>
      <c r="W24" s="663"/>
      <c r="X24" s="663"/>
      <c r="Y24" s="664"/>
      <c r="Z24" s="312"/>
    </row>
    <row r="25" spans="1:26" ht="30" customHeight="1" thickBot="1" x14ac:dyDescent="0.3">
      <c r="A25" s="684"/>
      <c r="B25" s="687"/>
      <c r="C25" s="147"/>
      <c r="D25" s="144"/>
      <c r="E25" s="235"/>
      <c r="F25" s="679"/>
      <c r="G25" s="680"/>
      <c r="H25" s="680"/>
      <c r="I25" s="680"/>
      <c r="J25" s="681"/>
      <c r="K25" s="709"/>
      <c r="L25" s="710"/>
      <c r="M25" s="710"/>
      <c r="N25" s="710"/>
      <c r="O25" s="711"/>
      <c r="P25" s="703">
        <f>'Output indicators'!AZ16</f>
        <v>0</v>
      </c>
      <c r="Q25" s="704"/>
      <c r="R25" s="704"/>
      <c r="S25" s="704"/>
      <c r="T25" s="705"/>
      <c r="U25" s="706" t="e">
        <f>P25/K25</f>
        <v>#DIV/0!</v>
      </c>
      <c r="V25" s="707"/>
      <c r="W25" s="707"/>
      <c r="X25" s="707"/>
      <c r="Y25" s="708"/>
      <c r="Z25" s="312"/>
    </row>
    <row r="26" spans="1:26" ht="16.5" thickTop="1" x14ac:dyDescent="0.25"/>
  </sheetData>
  <mergeCells count="57">
    <mergeCell ref="K15:O15"/>
    <mergeCell ref="P24:T24"/>
    <mergeCell ref="U24:Y24"/>
    <mergeCell ref="P25:T25"/>
    <mergeCell ref="U25:Y25"/>
    <mergeCell ref="P19:T19"/>
    <mergeCell ref="U19:Y19"/>
    <mergeCell ref="K20:O20"/>
    <mergeCell ref="P20:T20"/>
    <mergeCell ref="U20:Y20"/>
    <mergeCell ref="P17:T17"/>
    <mergeCell ref="U17:Y17"/>
    <mergeCell ref="K17:O17"/>
    <mergeCell ref="K25:O25"/>
    <mergeCell ref="P15:T15"/>
    <mergeCell ref="U15:Y15"/>
    <mergeCell ref="K24:O24"/>
    <mergeCell ref="K18:O18"/>
    <mergeCell ref="P18:T18"/>
    <mergeCell ref="U18:Y18"/>
    <mergeCell ref="F19:J19"/>
    <mergeCell ref="F24:J24"/>
    <mergeCell ref="K19:O19"/>
    <mergeCell ref="F25:J25"/>
    <mergeCell ref="A13:A25"/>
    <mergeCell ref="B22:B25"/>
    <mergeCell ref="B20:B21"/>
    <mergeCell ref="B16:B18"/>
    <mergeCell ref="B13:B14"/>
    <mergeCell ref="F15:J15"/>
    <mergeCell ref="F20:J20"/>
    <mergeCell ref="F17:J17"/>
    <mergeCell ref="F18:J18"/>
    <mergeCell ref="A1:A2"/>
    <mergeCell ref="B1:B2"/>
    <mergeCell ref="C1:C2"/>
    <mergeCell ref="D1:D2"/>
    <mergeCell ref="E1:E2"/>
    <mergeCell ref="B3:B4"/>
    <mergeCell ref="A3:A4"/>
    <mergeCell ref="A6:A12"/>
    <mergeCell ref="B9:B12"/>
    <mergeCell ref="B7:B8"/>
    <mergeCell ref="A5:C5"/>
    <mergeCell ref="Z1:Z2"/>
    <mergeCell ref="O1:O2"/>
    <mergeCell ref="F6:I6"/>
    <mergeCell ref="F1:I1"/>
    <mergeCell ref="J1:J2"/>
    <mergeCell ref="K6:O6"/>
    <mergeCell ref="P6:T6"/>
    <mergeCell ref="U6:Y6"/>
    <mergeCell ref="K1:N1"/>
    <mergeCell ref="U1:X1"/>
    <mergeCell ref="Y1:Y2"/>
    <mergeCell ref="T1:T2"/>
    <mergeCell ref="P1:S1"/>
  </mergeCells>
  <conditionalFormatting sqref="U6 U3:Y5 U16:Y16 U15 U7:Y14 U17:U20 U21:Y23 U26:Y1048576 U24:U25">
    <cfRule type="iconSet" priority="4">
      <iconSet>
        <cfvo type="percent" val="0"/>
        <cfvo type="formula" val="0.3"/>
        <cfvo type="formula" val="0.7" gte="0"/>
      </iconSet>
    </cfRule>
  </conditionalFormatting>
  <conditionalFormatting sqref="T1">
    <cfRule type="iconSet" priority="2">
      <iconSet>
        <cfvo type="percent" val="0"/>
        <cfvo type="formula" val="0.3"/>
        <cfvo type="formula" val="0.7" gte="0"/>
      </iconSet>
    </cfRule>
  </conditionalFormatting>
  <conditionalFormatting sqref="Y1">
    <cfRule type="iconSet" priority="1">
      <iconSet>
        <cfvo type="percent" val="0"/>
        <cfvo type="formula" val="0.3"/>
        <cfvo type="formula" val="0.7" gte="0"/>
      </iconSet>
    </cfRule>
  </conditionalFormatting>
  <dataValidations disablePrompts="1" count="3">
    <dataValidation allowBlank="1" showInputMessage="1" showErrorMessage="1" prompt="If baseline status is measured then Achievement equation is = (Actual or endline-baseline value/target value)" sqref="U1" xr:uid="{9EAC1ECB-5831-412C-8AD9-9F0349DA28EF}"/>
    <dataValidation allowBlank="1" showInputMessage="1" showErrorMessage="1" prompt="Managing and maintaining this sheet updated is the responsibility of MEAL team," sqref="A1:A2" xr:uid="{9C6B118C-4969-4AF9-9500-2A1746E1FC37}"/>
    <dataValidation allowBlank="1" showInputMessage="1" showErrorMessage="1" prompt="cells in grey are automatically generated don't change formulas" sqref="P3" xr:uid="{3FB74392-DFB7-42DE-9121-0B09EA8308D0}"/>
  </dataValidations>
  <pageMargins left="0.7" right="0.7" top="0.75" bottom="0.75" header="0.3" footer="0.3"/>
  <ignoredErrors>
    <ignoredError sqref="J3:J4 J5:J12 O5 J13:J14 J21:J23 J16" formulaRange="1"/>
    <ignoredError sqref="O3" unlockedFormula="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D37C8-CFBE-4301-BC7C-26CA2A44DED0}">
  <sheetPr>
    <tabColor theme="8"/>
  </sheetPr>
  <dimension ref="A1:BC26"/>
  <sheetViews>
    <sheetView zoomScale="70" zoomScaleNormal="70" workbookViewId="0">
      <pane xSplit="3" ySplit="3" topLeftCell="D4" activePane="bottomRight" state="frozen"/>
      <selection pane="topRight" activeCell="D1" sqref="D1"/>
      <selection pane="bottomLeft" activeCell="A4" sqref="A4"/>
      <selection pane="bottomRight" activeCell="B7" sqref="B7"/>
    </sheetView>
  </sheetViews>
  <sheetFormatPr defaultRowHeight="15.75" x14ac:dyDescent="0.25"/>
  <cols>
    <col min="2" max="2" width="50.42578125" style="229" customWidth="1"/>
    <col min="3" max="3" width="85" bestFit="1" customWidth="1"/>
    <col min="4" max="4" width="7.7109375" style="51" customWidth="1"/>
    <col min="5" max="5" width="8.5703125" style="51" customWidth="1"/>
    <col min="6" max="6" width="8.28515625" style="51" bestFit="1" customWidth="1"/>
    <col min="7" max="7" width="9.28515625" style="51" bestFit="1" customWidth="1"/>
  </cols>
  <sheetData>
    <row r="1" spans="1:55" s="254" customFormat="1" ht="19.5" thickTop="1" x14ac:dyDescent="0.3">
      <c r="A1" s="733" t="s">
        <v>311</v>
      </c>
      <c r="B1" s="737" t="s">
        <v>309</v>
      </c>
      <c r="C1" s="726" t="s">
        <v>310</v>
      </c>
      <c r="D1" s="729" t="s">
        <v>61</v>
      </c>
      <c r="E1" s="730"/>
      <c r="F1" s="730"/>
      <c r="G1" s="730"/>
      <c r="H1" s="730"/>
      <c r="I1" s="730"/>
      <c r="J1" s="730"/>
      <c r="K1" s="730"/>
      <c r="L1" s="730"/>
      <c r="M1" s="730"/>
      <c r="N1" s="730"/>
      <c r="O1" s="731"/>
      <c r="P1" s="729" t="s">
        <v>56</v>
      </c>
      <c r="Q1" s="730"/>
      <c r="R1" s="730"/>
      <c r="S1" s="730"/>
      <c r="T1" s="730"/>
      <c r="U1" s="730"/>
      <c r="V1" s="730"/>
      <c r="W1" s="730"/>
      <c r="X1" s="730"/>
      <c r="Y1" s="730"/>
      <c r="Z1" s="730"/>
      <c r="AA1" s="731"/>
      <c r="AB1" s="729" t="s">
        <v>57</v>
      </c>
      <c r="AC1" s="730"/>
      <c r="AD1" s="730"/>
      <c r="AE1" s="730"/>
      <c r="AF1" s="730"/>
      <c r="AG1" s="730"/>
      <c r="AH1" s="730"/>
      <c r="AI1" s="730"/>
      <c r="AJ1" s="730"/>
      <c r="AK1" s="730"/>
      <c r="AL1" s="730"/>
      <c r="AM1" s="731"/>
      <c r="AN1" s="729" t="s">
        <v>58</v>
      </c>
      <c r="AO1" s="730"/>
      <c r="AP1" s="730"/>
      <c r="AQ1" s="730"/>
      <c r="AR1" s="730"/>
      <c r="AS1" s="730"/>
      <c r="AT1" s="730"/>
      <c r="AU1" s="730"/>
      <c r="AV1" s="730"/>
      <c r="AW1" s="730"/>
      <c r="AX1" s="730"/>
      <c r="AY1" s="732"/>
      <c r="AZ1" s="715" t="s">
        <v>308</v>
      </c>
      <c r="BA1" s="716"/>
      <c r="BB1" s="716"/>
      <c r="BC1" s="717"/>
    </row>
    <row r="2" spans="1:55" s="254" customFormat="1" ht="15.75" customHeight="1" x14ac:dyDescent="0.25">
      <c r="A2" s="734"/>
      <c r="B2" s="738"/>
      <c r="C2" s="727"/>
      <c r="D2" s="725">
        <v>43922</v>
      </c>
      <c r="E2" s="722"/>
      <c r="F2" s="722"/>
      <c r="G2" s="723"/>
      <c r="H2" s="721">
        <v>43952</v>
      </c>
      <c r="I2" s="722"/>
      <c r="J2" s="722"/>
      <c r="K2" s="723"/>
      <c r="L2" s="721">
        <v>43983</v>
      </c>
      <c r="M2" s="722"/>
      <c r="N2" s="722"/>
      <c r="O2" s="724"/>
      <c r="P2" s="725">
        <v>44013</v>
      </c>
      <c r="Q2" s="722"/>
      <c r="R2" s="722"/>
      <c r="S2" s="723"/>
      <c r="T2" s="721">
        <v>44044</v>
      </c>
      <c r="U2" s="722"/>
      <c r="V2" s="722"/>
      <c r="W2" s="723"/>
      <c r="X2" s="721">
        <v>44075</v>
      </c>
      <c r="Y2" s="722"/>
      <c r="Z2" s="722"/>
      <c r="AA2" s="724"/>
      <c r="AB2" s="725">
        <v>44105</v>
      </c>
      <c r="AC2" s="722"/>
      <c r="AD2" s="722"/>
      <c r="AE2" s="723"/>
      <c r="AF2" s="721">
        <v>44136</v>
      </c>
      <c r="AG2" s="722"/>
      <c r="AH2" s="722"/>
      <c r="AI2" s="723"/>
      <c r="AJ2" s="721">
        <v>44166</v>
      </c>
      <c r="AK2" s="722"/>
      <c r="AL2" s="722"/>
      <c r="AM2" s="724"/>
      <c r="AN2" s="725">
        <v>44197</v>
      </c>
      <c r="AO2" s="722"/>
      <c r="AP2" s="722"/>
      <c r="AQ2" s="723"/>
      <c r="AR2" s="721">
        <v>44228</v>
      </c>
      <c r="AS2" s="722"/>
      <c r="AT2" s="722"/>
      <c r="AU2" s="723"/>
      <c r="AV2" s="721">
        <v>44256</v>
      </c>
      <c r="AW2" s="722"/>
      <c r="AX2" s="722"/>
      <c r="AY2" s="722"/>
      <c r="AZ2" s="718"/>
      <c r="BA2" s="719"/>
      <c r="BB2" s="719"/>
      <c r="BC2" s="720"/>
    </row>
    <row r="3" spans="1:55" s="254" customFormat="1" ht="16.5" customHeight="1" x14ac:dyDescent="0.25">
      <c r="A3" s="734"/>
      <c r="B3" s="739"/>
      <c r="C3" s="728"/>
      <c r="D3" s="343" t="s">
        <v>304</v>
      </c>
      <c r="E3" s="226" t="s">
        <v>305</v>
      </c>
      <c r="F3" s="142" t="s">
        <v>306</v>
      </c>
      <c r="G3" s="142" t="s">
        <v>307</v>
      </c>
      <c r="H3" s="226" t="s">
        <v>304</v>
      </c>
      <c r="I3" s="226" t="s">
        <v>305</v>
      </c>
      <c r="J3" s="142" t="s">
        <v>306</v>
      </c>
      <c r="K3" s="142" t="s">
        <v>307</v>
      </c>
      <c r="L3" s="226" t="s">
        <v>304</v>
      </c>
      <c r="M3" s="226" t="s">
        <v>305</v>
      </c>
      <c r="N3" s="142" t="s">
        <v>306</v>
      </c>
      <c r="O3" s="344" t="s">
        <v>307</v>
      </c>
      <c r="P3" s="343" t="s">
        <v>304</v>
      </c>
      <c r="Q3" s="226" t="s">
        <v>305</v>
      </c>
      <c r="R3" s="142" t="s">
        <v>306</v>
      </c>
      <c r="S3" s="142" t="s">
        <v>307</v>
      </c>
      <c r="T3" s="226" t="s">
        <v>304</v>
      </c>
      <c r="U3" s="226" t="s">
        <v>305</v>
      </c>
      <c r="V3" s="142" t="s">
        <v>306</v>
      </c>
      <c r="W3" s="142" t="s">
        <v>307</v>
      </c>
      <c r="X3" s="226" t="s">
        <v>304</v>
      </c>
      <c r="Y3" s="226" t="s">
        <v>305</v>
      </c>
      <c r="Z3" s="142" t="s">
        <v>306</v>
      </c>
      <c r="AA3" s="344" t="s">
        <v>307</v>
      </c>
      <c r="AB3" s="343" t="s">
        <v>304</v>
      </c>
      <c r="AC3" s="226" t="s">
        <v>305</v>
      </c>
      <c r="AD3" s="142" t="s">
        <v>306</v>
      </c>
      <c r="AE3" s="142" t="s">
        <v>307</v>
      </c>
      <c r="AF3" s="226" t="s">
        <v>304</v>
      </c>
      <c r="AG3" s="226" t="s">
        <v>305</v>
      </c>
      <c r="AH3" s="142" t="s">
        <v>306</v>
      </c>
      <c r="AI3" s="142" t="s">
        <v>307</v>
      </c>
      <c r="AJ3" s="226" t="s">
        <v>304</v>
      </c>
      <c r="AK3" s="226" t="s">
        <v>305</v>
      </c>
      <c r="AL3" s="142" t="s">
        <v>306</v>
      </c>
      <c r="AM3" s="344" t="s">
        <v>307</v>
      </c>
      <c r="AN3" s="343" t="s">
        <v>304</v>
      </c>
      <c r="AO3" s="226" t="s">
        <v>305</v>
      </c>
      <c r="AP3" s="142" t="s">
        <v>306</v>
      </c>
      <c r="AQ3" s="142" t="s">
        <v>307</v>
      </c>
      <c r="AR3" s="226" t="s">
        <v>304</v>
      </c>
      <c r="AS3" s="226" t="s">
        <v>305</v>
      </c>
      <c r="AT3" s="142" t="s">
        <v>306</v>
      </c>
      <c r="AU3" s="142" t="s">
        <v>307</v>
      </c>
      <c r="AV3" s="226" t="s">
        <v>304</v>
      </c>
      <c r="AW3" s="226" t="s">
        <v>305</v>
      </c>
      <c r="AX3" s="142" t="s">
        <v>306</v>
      </c>
      <c r="AY3" s="354" t="s">
        <v>307</v>
      </c>
      <c r="AZ3" s="343" t="s">
        <v>304</v>
      </c>
      <c r="BA3" s="226" t="s">
        <v>305</v>
      </c>
      <c r="BB3" s="142" t="s">
        <v>306</v>
      </c>
      <c r="BC3" s="344" t="s">
        <v>307</v>
      </c>
    </row>
    <row r="4" spans="1:55" x14ac:dyDescent="0.25">
      <c r="A4" s="735" t="s">
        <v>312</v>
      </c>
      <c r="B4" s="57"/>
      <c r="C4" s="359"/>
      <c r="D4" s="345"/>
      <c r="E4" s="145"/>
      <c r="F4" s="145"/>
      <c r="G4" s="145"/>
      <c r="H4" s="145"/>
      <c r="I4" s="145"/>
      <c r="J4" s="145"/>
      <c r="K4" s="145"/>
      <c r="L4" s="145"/>
      <c r="M4" s="145"/>
      <c r="N4" s="145"/>
      <c r="O4" s="346"/>
      <c r="P4" s="345"/>
      <c r="Q4" s="145"/>
      <c r="R4" s="145"/>
      <c r="S4" s="145"/>
      <c r="T4" s="145"/>
      <c r="U4" s="145"/>
      <c r="V4" s="145"/>
      <c r="W4" s="145"/>
      <c r="X4" s="145"/>
      <c r="Y4" s="145"/>
      <c r="Z4" s="145"/>
      <c r="AA4" s="346"/>
      <c r="AB4" s="345"/>
      <c r="AC4" s="145"/>
      <c r="AD4" s="145"/>
      <c r="AE4" s="145"/>
      <c r="AF4" s="145"/>
      <c r="AG4" s="145"/>
      <c r="AH4" s="145"/>
      <c r="AI4" s="145"/>
      <c r="AJ4" s="145"/>
      <c r="AK4" s="145"/>
      <c r="AL4" s="145"/>
      <c r="AM4" s="346"/>
      <c r="AN4" s="345"/>
      <c r="AO4" s="145"/>
      <c r="AP4" s="145"/>
      <c r="AQ4" s="145"/>
      <c r="AR4" s="145"/>
      <c r="AS4" s="145"/>
      <c r="AT4" s="145"/>
      <c r="AU4" s="145"/>
      <c r="AV4" s="145"/>
      <c r="AW4" s="145"/>
      <c r="AX4" s="145"/>
      <c r="AY4" s="271"/>
      <c r="AZ4" s="352">
        <f>SUM(D4,H4,L4,P4,T4,X4,AB4,AF4,AJ4,AN4,AR4,AV4)</f>
        <v>0</v>
      </c>
      <c r="BA4" s="253">
        <f t="shared" ref="BA4:BC4" si="0">SUM(E4,I4,M4,Q4,U4,Y4,AC4,AG4,AK4,AO4,AS4,AW4)</f>
        <v>0</v>
      </c>
      <c r="BB4" s="253">
        <f t="shared" si="0"/>
        <v>0</v>
      </c>
      <c r="BC4" s="353">
        <f t="shared" si="0"/>
        <v>0</v>
      </c>
    </row>
    <row r="5" spans="1:55" x14ac:dyDescent="0.25">
      <c r="A5" s="735"/>
      <c r="B5" s="57"/>
      <c r="C5" s="359"/>
      <c r="D5" s="345"/>
      <c r="E5" s="145"/>
      <c r="F5" s="145"/>
      <c r="G5" s="145"/>
      <c r="H5" s="145"/>
      <c r="I5" s="145"/>
      <c r="J5" s="145"/>
      <c r="K5" s="145"/>
      <c r="L5" s="145"/>
      <c r="M5" s="145"/>
      <c r="N5" s="145"/>
      <c r="O5" s="346"/>
      <c r="P5" s="345"/>
      <c r="Q5" s="145"/>
      <c r="R5" s="145"/>
      <c r="S5" s="145"/>
      <c r="T5" s="145"/>
      <c r="U5" s="145"/>
      <c r="V5" s="145"/>
      <c r="W5" s="145"/>
      <c r="X5" s="145"/>
      <c r="Y5" s="145"/>
      <c r="Z5" s="145"/>
      <c r="AA5" s="346"/>
      <c r="AB5" s="345"/>
      <c r="AC5" s="145"/>
      <c r="AD5" s="145"/>
      <c r="AE5" s="145"/>
      <c r="AF5" s="145"/>
      <c r="AG5" s="145"/>
      <c r="AH5" s="145"/>
      <c r="AI5" s="145"/>
      <c r="AJ5" s="145"/>
      <c r="AK5" s="145"/>
      <c r="AL5" s="145"/>
      <c r="AM5" s="346"/>
      <c r="AN5" s="345"/>
      <c r="AO5" s="145"/>
      <c r="AP5" s="145"/>
      <c r="AQ5" s="145"/>
      <c r="AR5" s="145"/>
      <c r="AS5" s="145"/>
      <c r="AT5" s="145"/>
      <c r="AU5" s="145"/>
      <c r="AV5" s="145"/>
      <c r="AW5" s="145"/>
      <c r="AX5" s="145"/>
      <c r="AY5" s="271"/>
      <c r="AZ5" s="352">
        <f t="shared" ref="AZ5:AZ16" si="1">SUM(D5,H5,L5,P5,T5,X5,AB5,AF5,AJ5,AN5,AR5,AV5)</f>
        <v>0</v>
      </c>
      <c r="BA5" s="253">
        <f t="shared" ref="BA5:BA16" si="2">SUM(E5,I5,M5,Q5,U5,Y5,AC5,AG5,AK5,AO5,AS5,AW5)</f>
        <v>0</v>
      </c>
      <c r="BB5" s="253">
        <f t="shared" ref="BB5:BB16" si="3">SUM(F5,J5,N5,R5,V5,Z5,AD5,AH5,AL5,AP5,AT5,AX5)</f>
        <v>0</v>
      </c>
      <c r="BC5" s="353">
        <f t="shared" ref="BC5:BC16" si="4">SUM(G5,K5,O5,S5,W5,AA5,AE5,AI5,AM5,AQ5,AU5,AY5)</f>
        <v>0</v>
      </c>
    </row>
    <row r="6" spans="1:55" x14ac:dyDescent="0.25">
      <c r="A6" s="735"/>
      <c r="B6" s="149"/>
      <c r="C6" s="262"/>
      <c r="D6" s="347"/>
      <c r="E6" s="342"/>
      <c r="F6" s="342"/>
      <c r="G6" s="342"/>
      <c r="H6" s="342"/>
      <c r="I6" s="342"/>
      <c r="J6" s="342"/>
      <c r="K6" s="342"/>
      <c r="L6" s="342"/>
      <c r="M6" s="342"/>
      <c r="N6" s="342"/>
      <c r="O6" s="348"/>
      <c r="P6" s="347"/>
      <c r="Q6" s="342"/>
      <c r="R6" s="342"/>
      <c r="S6" s="342"/>
      <c r="T6" s="342"/>
      <c r="U6" s="342"/>
      <c r="V6" s="342"/>
      <c r="W6" s="342"/>
      <c r="X6" s="342"/>
      <c r="Y6" s="342"/>
      <c r="Z6" s="342"/>
      <c r="AA6" s="348"/>
      <c r="AB6" s="347"/>
      <c r="AC6" s="342"/>
      <c r="AD6" s="342"/>
      <c r="AE6" s="342"/>
      <c r="AF6" s="342"/>
      <c r="AG6" s="342"/>
      <c r="AH6" s="342"/>
      <c r="AI6" s="342"/>
      <c r="AJ6" s="342"/>
      <c r="AK6" s="342"/>
      <c r="AL6" s="342"/>
      <c r="AM6" s="348"/>
      <c r="AN6" s="347"/>
      <c r="AO6" s="342"/>
      <c r="AP6" s="342"/>
      <c r="AQ6" s="342"/>
      <c r="AR6" s="342"/>
      <c r="AS6" s="342"/>
      <c r="AT6" s="342"/>
      <c r="AU6" s="342"/>
      <c r="AV6" s="342"/>
      <c r="AW6" s="342"/>
      <c r="AX6" s="342"/>
      <c r="AY6" s="341"/>
      <c r="AZ6" s="352">
        <f t="shared" si="1"/>
        <v>0</v>
      </c>
      <c r="BA6" s="253">
        <f t="shared" si="2"/>
        <v>0</v>
      </c>
      <c r="BB6" s="253">
        <f t="shared" si="3"/>
        <v>0</v>
      </c>
      <c r="BC6" s="353">
        <f t="shared" si="4"/>
        <v>0</v>
      </c>
    </row>
    <row r="7" spans="1:55" x14ac:dyDescent="0.25">
      <c r="A7" s="735" t="s">
        <v>313</v>
      </c>
      <c r="B7" s="340"/>
      <c r="C7" s="360"/>
      <c r="D7" s="345"/>
      <c r="E7" s="145"/>
      <c r="F7" s="145"/>
      <c r="G7" s="145"/>
      <c r="H7" s="145"/>
      <c r="I7" s="145"/>
      <c r="J7" s="145"/>
      <c r="K7" s="145"/>
      <c r="L7" s="145"/>
      <c r="M7" s="145"/>
      <c r="N7" s="145"/>
      <c r="O7" s="346"/>
      <c r="P7" s="345"/>
      <c r="Q7" s="145"/>
      <c r="R7" s="145"/>
      <c r="S7" s="145"/>
      <c r="T7" s="145"/>
      <c r="U7" s="145"/>
      <c r="V7" s="145"/>
      <c r="W7" s="145"/>
      <c r="X7" s="145"/>
      <c r="Y7" s="145"/>
      <c r="Z7" s="145"/>
      <c r="AA7" s="346"/>
      <c r="AB7" s="345"/>
      <c r="AC7" s="145"/>
      <c r="AD7" s="145"/>
      <c r="AE7" s="145"/>
      <c r="AF7" s="145"/>
      <c r="AG7" s="145"/>
      <c r="AH7" s="145"/>
      <c r="AI7" s="145"/>
      <c r="AJ7" s="145"/>
      <c r="AK7" s="145"/>
      <c r="AL7" s="145"/>
      <c r="AM7" s="346"/>
      <c r="AN7" s="345"/>
      <c r="AO7" s="145"/>
      <c r="AP7" s="145"/>
      <c r="AQ7" s="145"/>
      <c r="AR7" s="145"/>
      <c r="AS7" s="145"/>
      <c r="AT7" s="145"/>
      <c r="AU7" s="145"/>
      <c r="AV7" s="145"/>
      <c r="AW7" s="145"/>
      <c r="AX7" s="145"/>
      <c r="AY7" s="271"/>
      <c r="AZ7" s="352">
        <f t="shared" si="1"/>
        <v>0</v>
      </c>
      <c r="BA7" s="253">
        <f t="shared" si="2"/>
        <v>0</v>
      </c>
      <c r="BB7" s="253">
        <f t="shared" si="3"/>
        <v>0</v>
      </c>
      <c r="BC7" s="353">
        <f t="shared" si="4"/>
        <v>0</v>
      </c>
    </row>
    <row r="8" spans="1:55" x14ac:dyDescent="0.25">
      <c r="A8" s="735"/>
      <c r="B8" s="340"/>
      <c r="C8" s="262"/>
      <c r="D8" s="347"/>
      <c r="E8" s="342"/>
      <c r="F8" s="342"/>
      <c r="G8" s="342"/>
      <c r="H8" s="342"/>
      <c r="I8" s="342"/>
      <c r="J8" s="342"/>
      <c r="K8" s="342"/>
      <c r="L8" s="342"/>
      <c r="M8" s="342"/>
      <c r="N8" s="342"/>
      <c r="O8" s="348"/>
      <c r="P8" s="347"/>
      <c r="Q8" s="342"/>
      <c r="R8" s="342"/>
      <c r="S8" s="342"/>
      <c r="T8" s="342"/>
      <c r="U8" s="342"/>
      <c r="V8" s="342"/>
      <c r="W8" s="342"/>
      <c r="X8" s="342"/>
      <c r="Y8" s="342"/>
      <c r="Z8" s="342"/>
      <c r="AA8" s="348"/>
      <c r="AB8" s="347"/>
      <c r="AC8" s="342"/>
      <c r="AD8" s="342"/>
      <c r="AE8" s="342"/>
      <c r="AF8" s="342"/>
      <c r="AG8" s="342"/>
      <c r="AH8" s="342"/>
      <c r="AI8" s="342"/>
      <c r="AJ8" s="342"/>
      <c r="AK8" s="342"/>
      <c r="AL8" s="342"/>
      <c r="AM8" s="348"/>
      <c r="AN8" s="347"/>
      <c r="AO8" s="342"/>
      <c r="AP8" s="342"/>
      <c r="AQ8" s="342"/>
      <c r="AR8" s="342"/>
      <c r="AS8" s="342"/>
      <c r="AT8" s="342"/>
      <c r="AU8" s="342"/>
      <c r="AV8" s="342"/>
      <c r="AW8" s="342"/>
      <c r="AX8" s="342"/>
      <c r="AY8" s="341"/>
      <c r="AZ8" s="352">
        <f t="shared" si="1"/>
        <v>0</v>
      </c>
      <c r="BA8" s="253">
        <f t="shared" si="2"/>
        <v>0</v>
      </c>
      <c r="BB8" s="253">
        <f t="shared" si="3"/>
        <v>0</v>
      </c>
      <c r="BC8" s="353">
        <f t="shared" si="4"/>
        <v>0</v>
      </c>
    </row>
    <row r="9" spans="1:55" x14ac:dyDescent="0.25">
      <c r="A9" s="735"/>
      <c r="B9" s="340"/>
      <c r="C9" s="262"/>
      <c r="D9" s="347"/>
      <c r="E9" s="342"/>
      <c r="F9" s="342"/>
      <c r="G9" s="342"/>
      <c r="H9" s="342"/>
      <c r="I9" s="342"/>
      <c r="J9" s="342"/>
      <c r="K9" s="342"/>
      <c r="L9" s="342"/>
      <c r="M9" s="342"/>
      <c r="N9" s="342"/>
      <c r="O9" s="348"/>
      <c r="P9" s="347"/>
      <c r="Q9" s="342"/>
      <c r="R9" s="342"/>
      <c r="S9" s="342"/>
      <c r="T9" s="342"/>
      <c r="U9" s="342"/>
      <c r="V9" s="342"/>
      <c r="W9" s="342"/>
      <c r="X9" s="342"/>
      <c r="Y9" s="342"/>
      <c r="Z9" s="342"/>
      <c r="AA9" s="348"/>
      <c r="AB9" s="347"/>
      <c r="AC9" s="342"/>
      <c r="AD9" s="342"/>
      <c r="AE9" s="342"/>
      <c r="AF9" s="342"/>
      <c r="AG9" s="342"/>
      <c r="AH9" s="342"/>
      <c r="AI9" s="342"/>
      <c r="AJ9" s="342"/>
      <c r="AK9" s="342"/>
      <c r="AL9" s="342"/>
      <c r="AM9" s="348"/>
      <c r="AN9" s="347"/>
      <c r="AO9" s="342"/>
      <c r="AP9" s="342"/>
      <c r="AQ9" s="342"/>
      <c r="AR9" s="342"/>
      <c r="AS9" s="342"/>
      <c r="AT9" s="342"/>
      <c r="AU9" s="342"/>
      <c r="AV9" s="342"/>
      <c r="AW9" s="342"/>
      <c r="AX9" s="342"/>
      <c r="AY9" s="341"/>
      <c r="AZ9" s="352">
        <f t="shared" si="1"/>
        <v>0</v>
      </c>
      <c r="BA9" s="253">
        <f t="shared" si="2"/>
        <v>0</v>
      </c>
      <c r="BB9" s="253">
        <f t="shared" si="3"/>
        <v>0</v>
      </c>
      <c r="BC9" s="353">
        <f t="shared" si="4"/>
        <v>0</v>
      </c>
    </row>
    <row r="10" spans="1:55" x14ac:dyDescent="0.25">
      <c r="A10" s="735"/>
      <c r="B10" s="149"/>
      <c r="C10" s="262"/>
      <c r="D10" s="347"/>
      <c r="E10" s="342"/>
      <c r="F10" s="342"/>
      <c r="G10" s="342"/>
      <c r="H10" s="342"/>
      <c r="I10" s="342"/>
      <c r="J10" s="342"/>
      <c r="K10" s="342"/>
      <c r="L10" s="342"/>
      <c r="M10" s="342"/>
      <c r="N10" s="342"/>
      <c r="O10" s="348"/>
      <c r="P10" s="347"/>
      <c r="Q10" s="342"/>
      <c r="R10" s="342"/>
      <c r="S10" s="342"/>
      <c r="T10" s="342"/>
      <c r="U10" s="342"/>
      <c r="V10" s="342"/>
      <c r="W10" s="342"/>
      <c r="X10" s="342"/>
      <c r="Y10" s="342"/>
      <c r="Z10" s="342"/>
      <c r="AA10" s="348"/>
      <c r="AB10" s="347"/>
      <c r="AC10" s="342"/>
      <c r="AD10" s="342"/>
      <c r="AE10" s="342"/>
      <c r="AF10" s="342"/>
      <c r="AG10" s="342"/>
      <c r="AH10" s="342"/>
      <c r="AI10" s="342"/>
      <c r="AJ10" s="342"/>
      <c r="AK10" s="342"/>
      <c r="AL10" s="342"/>
      <c r="AM10" s="348"/>
      <c r="AN10" s="347"/>
      <c r="AO10" s="342"/>
      <c r="AP10" s="342"/>
      <c r="AQ10" s="342"/>
      <c r="AR10" s="342"/>
      <c r="AS10" s="342"/>
      <c r="AT10" s="342"/>
      <c r="AU10" s="342"/>
      <c r="AV10" s="342"/>
      <c r="AW10" s="342"/>
      <c r="AX10" s="342"/>
      <c r="AY10" s="341"/>
      <c r="AZ10" s="352">
        <f t="shared" si="1"/>
        <v>0</v>
      </c>
      <c r="BA10" s="253">
        <f t="shared" si="2"/>
        <v>0</v>
      </c>
      <c r="BB10" s="253">
        <f t="shared" si="3"/>
        <v>0</v>
      </c>
      <c r="BC10" s="353">
        <f t="shared" si="4"/>
        <v>0</v>
      </c>
    </row>
    <row r="11" spans="1:55" x14ac:dyDescent="0.25">
      <c r="A11" s="735" t="s">
        <v>314</v>
      </c>
      <c r="B11" s="340"/>
      <c r="C11" s="262"/>
      <c r="D11" s="347"/>
      <c r="E11" s="342"/>
      <c r="F11" s="342"/>
      <c r="G11" s="342"/>
      <c r="H11" s="342"/>
      <c r="I11" s="342"/>
      <c r="J11" s="342"/>
      <c r="K11" s="342"/>
      <c r="L11" s="342"/>
      <c r="M11" s="342"/>
      <c r="N11" s="342"/>
      <c r="O11" s="348"/>
      <c r="P11" s="347"/>
      <c r="Q11" s="342"/>
      <c r="R11" s="342"/>
      <c r="S11" s="342"/>
      <c r="T11" s="342"/>
      <c r="U11" s="342"/>
      <c r="V11" s="342"/>
      <c r="W11" s="342"/>
      <c r="X11" s="342"/>
      <c r="Y11" s="342"/>
      <c r="Z11" s="342"/>
      <c r="AA11" s="348"/>
      <c r="AB11" s="347"/>
      <c r="AC11" s="342"/>
      <c r="AD11" s="342"/>
      <c r="AE11" s="342"/>
      <c r="AF11" s="342"/>
      <c r="AG11" s="342"/>
      <c r="AH11" s="342"/>
      <c r="AI11" s="342"/>
      <c r="AJ11" s="342"/>
      <c r="AK11" s="342"/>
      <c r="AL11" s="342"/>
      <c r="AM11" s="348"/>
      <c r="AN11" s="347"/>
      <c r="AO11" s="342"/>
      <c r="AP11" s="342"/>
      <c r="AQ11" s="342"/>
      <c r="AR11" s="342"/>
      <c r="AS11" s="342"/>
      <c r="AT11" s="342"/>
      <c r="AU11" s="342"/>
      <c r="AV11" s="342"/>
      <c r="AW11" s="342"/>
      <c r="AX11" s="342"/>
      <c r="AY11" s="341"/>
      <c r="AZ11" s="352">
        <f t="shared" si="1"/>
        <v>0</v>
      </c>
      <c r="BA11" s="253">
        <f t="shared" si="2"/>
        <v>0</v>
      </c>
      <c r="BB11" s="253">
        <f t="shared" si="3"/>
        <v>0</v>
      </c>
      <c r="BC11" s="353">
        <f t="shared" si="4"/>
        <v>0</v>
      </c>
    </row>
    <row r="12" spans="1:55" x14ac:dyDescent="0.25">
      <c r="A12" s="735"/>
      <c r="B12" s="340"/>
      <c r="C12" s="262"/>
      <c r="D12" s="345"/>
      <c r="E12" s="145"/>
      <c r="F12" s="145"/>
      <c r="G12" s="145"/>
      <c r="H12" s="145"/>
      <c r="I12" s="145"/>
      <c r="J12" s="145"/>
      <c r="K12" s="145"/>
      <c r="L12" s="145"/>
      <c r="M12" s="145"/>
      <c r="N12" s="145"/>
      <c r="O12" s="346"/>
      <c r="P12" s="345"/>
      <c r="Q12" s="145"/>
      <c r="R12" s="145"/>
      <c r="S12" s="145"/>
      <c r="T12" s="145"/>
      <c r="U12" s="145"/>
      <c r="V12" s="145"/>
      <c r="W12" s="145"/>
      <c r="X12" s="145"/>
      <c r="Y12" s="145"/>
      <c r="Z12" s="145"/>
      <c r="AA12" s="346"/>
      <c r="AB12" s="345"/>
      <c r="AC12" s="145"/>
      <c r="AD12" s="145"/>
      <c r="AE12" s="145"/>
      <c r="AF12" s="145"/>
      <c r="AG12" s="145"/>
      <c r="AH12" s="145"/>
      <c r="AI12" s="145"/>
      <c r="AJ12" s="145"/>
      <c r="AK12" s="145"/>
      <c r="AL12" s="145"/>
      <c r="AM12" s="346"/>
      <c r="AN12" s="345"/>
      <c r="AO12" s="145"/>
      <c r="AP12" s="145"/>
      <c r="AQ12" s="145"/>
      <c r="AR12" s="145"/>
      <c r="AS12" s="145"/>
      <c r="AT12" s="145"/>
      <c r="AU12" s="145"/>
      <c r="AV12" s="145"/>
      <c r="AW12" s="145"/>
      <c r="AX12" s="145"/>
      <c r="AY12" s="271"/>
      <c r="AZ12" s="352">
        <f t="shared" si="1"/>
        <v>0</v>
      </c>
      <c r="BA12" s="253">
        <f t="shared" si="2"/>
        <v>0</v>
      </c>
      <c r="BB12" s="253">
        <f t="shared" si="3"/>
        <v>0</v>
      </c>
      <c r="BC12" s="353">
        <f t="shared" si="4"/>
        <v>0</v>
      </c>
    </row>
    <row r="13" spans="1:55" x14ac:dyDescent="0.25">
      <c r="A13" s="735"/>
      <c r="B13" s="340"/>
      <c r="C13" s="262"/>
      <c r="D13" s="345"/>
      <c r="E13" s="145"/>
      <c r="F13" s="145"/>
      <c r="G13" s="145"/>
      <c r="H13" s="145"/>
      <c r="I13" s="145"/>
      <c r="J13" s="145"/>
      <c r="K13" s="145"/>
      <c r="L13" s="145"/>
      <c r="M13" s="145"/>
      <c r="N13" s="145"/>
      <c r="O13" s="346"/>
      <c r="P13" s="345"/>
      <c r="Q13" s="145"/>
      <c r="R13" s="145"/>
      <c r="S13" s="145"/>
      <c r="T13" s="145"/>
      <c r="U13" s="145"/>
      <c r="V13" s="145"/>
      <c r="W13" s="145"/>
      <c r="X13" s="145"/>
      <c r="Y13" s="145"/>
      <c r="Z13" s="145"/>
      <c r="AA13" s="346"/>
      <c r="AB13" s="345"/>
      <c r="AC13" s="145"/>
      <c r="AD13" s="145"/>
      <c r="AE13" s="145"/>
      <c r="AF13" s="145"/>
      <c r="AG13" s="145"/>
      <c r="AH13" s="145"/>
      <c r="AI13" s="145"/>
      <c r="AJ13" s="145"/>
      <c r="AK13" s="145"/>
      <c r="AL13" s="145"/>
      <c r="AM13" s="346"/>
      <c r="AN13" s="345"/>
      <c r="AO13" s="145"/>
      <c r="AP13" s="145"/>
      <c r="AQ13" s="145"/>
      <c r="AR13" s="145"/>
      <c r="AS13" s="145"/>
      <c r="AT13" s="145"/>
      <c r="AU13" s="145"/>
      <c r="AV13" s="145"/>
      <c r="AW13" s="145"/>
      <c r="AX13" s="145"/>
      <c r="AY13" s="271"/>
      <c r="AZ13" s="352">
        <f t="shared" si="1"/>
        <v>0</v>
      </c>
      <c r="BA13" s="253">
        <f t="shared" si="2"/>
        <v>0</v>
      </c>
      <c r="BB13" s="253">
        <f t="shared" si="3"/>
        <v>0</v>
      </c>
      <c r="BC13" s="353">
        <f t="shared" si="4"/>
        <v>0</v>
      </c>
    </row>
    <row r="14" spans="1:55" x14ac:dyDescent="0.25">
      <c r="A14" s="735"/>
      <c r="B14" s="340"/>
      <c r="C14" s="262"/>
      <c r="D14" s="345"/>
      <c r="E14" s="145"/>
      <c r="F14" s="145"/>
      <c r="G14" s="145"/>
      <c r="H14" s="145"/>
      <c r="I14" s="145"/>
      <c r="J14" s="145"/>
      <c r="K14" s="145"/>
      <c r="L14" s="145"/>
      <c r="M14" s="145"/>
      <c r="N14" s="145"/>
      <c r="O14" s="346"/>
      <c r="P14" s="345"/>
      <c r="Q14" s="145"/>
      <c r="R14" s="145"/>
      <c r="S14" s="145"/>
      <c r="T14" s="145"/>
      <c r="U14" s="145"/>
      <c r="V14" s="145"/>
      <c r="W14" s="145"/>
      <c r="X14" s="145"/>
      <c r="Y14" s="145"/>
      <c r="Z14" s="145"/>
      <c r="AA14" s="346"/>
      <c r="AB14" s="345"/>
      <c r="AC14" s="145"/>
      <c r="AD14" s="145"/>
      <c r="AE14" s="145"/>
      <c r="AF14" s="145"/>
      <c r="AG14" s="145"/>
      <c r="AH14" s="145"/>
      <c r="AI14" s="145"/>
      <c r="AJ14" s="145"/>
      <c r="AK14" s="145"/>
      <c r="AL14" s="145"/>
      <c r="AM14" s="346"/>
      <c r="AN14" s="345"/>
      <c r="AO14" s="145"/>
      <c r="AP14" s="145"/>
      <c r="AQ14" s="145"/>
      <c r="AR14" s="145"/>
      <c r="AS14" s="145"/>
      <c r="AT14" s="145"/>
      <c r="AU14" s="145"/>
      <c r="AV14" s="145"/>
      <c r="AW14" s="145"/>
      <c r="AX14" s="145"/>
      <c r="AY14" s="271"/>
      <c r="AZ14" s="352">
        <f t="shared" si="1"/>
        <v>0</v>
      </c>
      <c r="BA14" s="253">
        <f t="shared" si="2"/>
        <v>0</v>
      </c>
      <c r="BB14" s="253">
        <f t="shared" si="3"/>
        <v>0</v>
      </c>
      <c r="BC14" s="353">
        <f t="shared" si="4"/>
        <v>0</v>
      </c>
    </row>
    <row r="15" spans="1:55" x14ac:dyDescent="0.25">
      <c r="A15" s="735"/>
      <c r="B15" s="340"/>
      <c r="C15" s="262"/>
      <c r="D15" s="347"/>
      <c r="E15" s="342"/>
      <c r="F15" s="342"/>
      <c r="G15" s="342"/>
      <c r="H15" s="342"/>
      <c r="I15" s="342"/>
      <c r="J15" s="342"/>
      <c r="K15" s="342"/>
      <c r="L15" s="342"/>
      <c r="M15" s="342"/>
      <c r="N15" s="342"/>
      <c r="O15" s="348"/>
      <c r="P15" s="347"/>
      <c r="Q15" s="342"/>
      <c r="R15" s="342"/>
      <c r="S15" s="342"/>
      <c r="T15" s="342"/>
      <c r="U15" s="342"/>
      <c r="V15" s="342"/>
      <c r="W15" s="342"/>
      <c r="X15" s="342"/>
      <c r="Y15" s="342"/>
      <c r="Z15" s="342"/>
      <c r="AA15" s="348"/>
      <c r="AB15" s="347"/>
      <c r="AC15" s="342"/>
      <c r="AD15" s="342"/>
      <c r="AE15" s="342"/>
      <c r="AF15" s="342"/>
      <c r="AG15" s="342"/>
      <c r="AH15" s="342"/>
      <c r="AI15" s="342"/>
      <c r="AJ15" s="342"/>
      <c r="AK15" s="342"/>
      <c r="AL15" s="342"/>
      <c r="AM15" s="348"/>
      <c r="AN15" s="347"/>
      <c r="AO15" s="342"/>
      <c r="AP15" s="342"/>
      <c r="AQ15" s="342"/>
      <c r="AR15" s="342"/>
      <c r="AS15" s="342"/>
      <c r="AT15" s="342"/>
      <c r="AU15" s="342"/>
      <c r="AV15" s="342"/>
      <c r="AW15" s="342"/>
      <c r="AX15" s="342"/>
      <c r="AY15" s="341"/>
      <c r="AZ15" s="352">
        <f t="shared" si="1"/>
        <v>0</v>
      </c>
      <c r="BA15" s="253">
        <f t="shared" si="2"/>
        <v>0</v>
      </c>
      <c r="BB15" s="253">
        <f t="shared" si="3"/>
        <v>0</v>
      </c>
      <c r="BC15" s="353">
        <f t="shared" si="4"/>
        <v>0</v>
      </c>
    </row>
    <row r="16" spans="1:55" ht="16.5" thickBot="1" x14ac:dyDescent="0.3">
      <c r="A16" s="736"/>
      <c r="B16" s="361"/>
      <c r="C16" s="263"/>
      <c r="D16" s="349"/>
      <c r="E16" s="350"/>
      <c r="F16" s="350"/>
      <c r="G16" s="350"/>
      <c r="H16" s="350"/>
      <c r="I16" s="350"/>
      <c r="J16" s="350"/>
      <c r="K16" s="350"/>
      <c r="L16" s="350"/>
      <c r="M16" s="350"/>
      <c r="N16" s="350"/>
      <c r="O16" s="351"/>
      <c r="P16" s="349"/>
      <c r="Q16" s="350"/>
      <c r="R16" s="350"/>
      <c r="S16" s="350"/>
      <c r="T16" s="350"/>
      <c r="U16" s="350"/>
      <c r="V16" s="350"/>
      <c r="W16" s="350"/>
      <c r="X16" s="350"/>
      <c r="Y16" s="350"/>
      <c r="Z16" s="350"/>
      <c r="AA16" s="351"/>
      <c r="AB16" s="349"/>
      <c r="AC16" s="350"/>
      <c r="AD16" s="350"/>
      <c r="AE16" s="350"/>
      <c r="AF16" s="350"/>
      <c r="AG16" s="350"/>
      <c r="AH16" s="350"/>
      <c r="AI16" s="350"/>
      <c r="AJ16" s="350"/>
      <c r="AK16" s="350"/>
      <c r="AL16" s="350"/>
      <c r="AM16" s="351"/>
      <c r="AN16" s="349"/>
      <c r="AO16" s="350"/>
      <c r="AP16" s="350"/>
      <c r="AQ16" s="350"/>
      <c r="AR16" s="350"/>
      <c r="AS16" s="350"/>
      <c r="AT16" s="350"/>
      <c r="AU16" s="350"/>
      <c r="AV16" s="350"/>
      <c r="AW16" s="350"/>
      <c r="AX16" s="350"/>
      <c r="AY16" s="355"/>
      <c r="AZ16" s="356">
        <f t="shared" si="1"/>
        <v>0</v>
      </c>
      <c r="BA16" s="357">
        <f t="shared" si="2"/>
        <v>0</v>
      </c>
      <c r="BB16" s="357">
        <f t="shared" si="3"/>
        <v>0</v>
      </c>
      <c r="BC16" s="358">
        <f t="shared" si="4"/>
        <v>0</v>
      </c>
    </row>
    <row r="17" spans="4:7" thickTop="1" x14ac:dyDescent="0.25">
      <c r="D17"/>
      <c r="E17"/>
      <c r="F17"/>
      <c r="G17"/>
    </row>
    <row r="18" spans="4:7" ht="15" x14ac:dyDescent="0.25">
      <c r="D18"/>
      <c r="E18"/>
      <c r="F18"/>
      <c r="G18"/>
    </row>
    <row r="19" spans="4:7" ht="15" x14ac:dyDescent="0.25">
      <c r="D19"/>
      <c r="E19"/>
      <c r="F19"/>
      <c r="G19"/>
    </row>
    <row r="20" spans="4:7" ht="15" x14ac:dyDescent="0.25">
      <c r="D20"/>
      <c r="E20"/>
      <c r="F20"/>
      <c r="G20"/>
    </row>
    <row r="21" spans="4:7" ht="15" x14ac:dyDescent="0.25">
      <c r="D21"/>
      <c r="E21"/>
      <c r="F21"/>
      <c r="G21"/>
    </row>
    <row r="22" spans="4:7" ht="15" x14ac:dyDescent="0.25">
      <c r="D22"/>
      <c r="E22"/>
      <c r="F22"/>
      <c r="G22"/>
    </row>
    <row r="23" spans="4:7" ht="15" x14ac:dyDescent="0.25">
      <c r="D23"/>
      <c r="E23"/>
      <c r="F23"/>
      <c r="G23"/>
    </row>
    <row r="24" spans="4:7" ht="15" x14ac:dyDescent="0.25">
      <c r="D24"/>
      <c r="E24"/>
      <c r="F24"/>
      <c r="G24"/>
    </row>
    <row r="25" spans="4:7" ht="15" x14ac:dyDescent="0.25">
      <c r="D25"/>
      <c r="E25"/>
      <c r="F25"/>
      <c r="G25"/>
    </row>
    <row r="26" spans="4:7" ht="15" x14ac:dyDescent="0.25">
      <c r="D26"/>
      <c r="E26"/>
      <c r="F26"/>
      <c r="G26"/>
    </row>
  </sheetData>
  <mergeCells count="23">
    <mergeCell ref="A1:A3"/>
    <mergeCell ref="A4:A6"/>
    <mergeCell ref="A7:A10"/>
    <mergeCell ref="A11:A16"/>
    <mergeCell ref="B1:B3"/>
    <mergeCell ref="C1:C3"/>
    <mergeCell ref="D1:O1"/>
    <mergeCell ref="P1:AA1"/>
    <mergeCell ref="AB1:AM1"/>
    <mergeCell ref="AN1:AY1"/>
    <mergeCell ref="AZ1:BC2"/>
    <mergeCell ref="H2:K2"/>
    <mergeCell ref="L2:O2"/>
    <mergeCell ref="D2:G2"/>
    <mergeCell ref="AJ2:AM2"/>
    <mergeCell ref="AN2:AQ2"/>
    <mergeCell ref="AR2:AU2"/>
    <mergeCell ref="AV2:AY2"/>
    <mergeCell ref="AF2:AI2"/>
    <mergeCell ref="P2:S2"/>
    <mergeCell ref="T2:W2"/>
    <mergeCell ref="X2:AA2"/>
    <mergeCell ref="AB2:AE2"/>
  </mergeCells>
  <phoneticPr fontId="18" type="noConversion"/>
  <dataValidations count="2">
    <dataValidation allowBlank="1" showInputMessage="1" showErrorMessage="1" prompt="Monthly update" sqref="C1:C3" xr:uid="{BA47317F-57C2-4D92-BB27-AFBE838368D8}"/>
    <dataValidation allowBlank="1" showInputMessage="1" showErrorMessage="1" prompt="This sheet is only for output indicators that are reported on monthly basis and Responsibility of Coordinators and program team, MEAL support development of sheet and follow up" sqref="B1:B3" xr:uid="{9BC85056-5DF4-4954-A12A-AD9450C30730}"/>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514A1-30D0-41D0-8F69-F0580C5FED9E}">
  <sheetPr>
    <tabColor theme="8"/>
  </sheetPr>
  <dimension ref="A1:AL13"/>
  <sheetViews>
    <sheetView zoomScale="80" zoomScaleNormal="80" workbookViewId="0">
      <selection activeCell="N17" sqref="N17"/>
    </sheetView>
  </sheetViews>
  <sheetFormatPr defaultRowHeight="15" x14ac:dyDescent="0.25"/>
  <cols>
    <col min="1" max="1" width="13.140625" style="6" customWidth="1"/>
    <col min="2" max="2" width="74.5703125" style="6" customWidth="1"/>
    <col min="3" max="3" width="9.140625" customWidth="1"/>
    <col min="4" max="4" width="10.7109375" customWidth="1"/>
    <col min="5" max="5" width="13.140625" bestFit="1" customWidth="1"/>
    <col min="6" max="6" width="14.42578125" bestFit="1" customWidth="1"/>
    <col min="7" max="7" width="10.28515625" customWidth="1"/>
    <col min="8" max="8" width="9.7109375" customWidth="1"/>
    <col min="9" max="9" width="13.28515625" customWidth="1"/>
    <col min="10" max="10" width="14" customWidth="1"/>
    <col min="11" max="11" width="10.85546875" customWidth="1"/>
    <col min="12" max="12" width="10.5703125" customWidth="1"/>
    <col min="13" max="13" width="13.140625" bestFit="1" customWidth="1"/>
    <col min="14" max="14" width="14.42578125" bestFit="1" customWidth="1"/>
    <col min="15" max="15" width="8.7109375" customWidth="1"/>
    <col min="16" max="16" width="9.28515625" customWidth="1"/>
    <col min="17" max="17" width="13.140625" bestFit="1" customWidth="1"/>
    <col min="18" max="18" width="14.42578125" bestFit="1" customWidth="1"/>
    <col min="19" max="19" width="8.5703125" customWidth="1"/>
    <col min="20" max="20" width="9.28515625" customWidth="1"/>
    <col min="21" max="21" width="13.140625" bestFit="1" customWidth="1"/>
    <col min="22" max="22" width="14.42578125" bestFit="1" customWidth="1"/>
    <col min="23" max="23" width="8.7109375" customWidth="1"/>
    <col min="24" max="24" width="9.140625" customWidth="1"/>
    <col min="25" max="25" width="13.140625" bestFit="1" customWidth="1"/>
    <col min="26" max="26" width="14.42578125" bestFit="1" customWidth="1"/>
    <col min="27" max="27" width="8.5703125" customWidth="1"/>
    <col min="28" max="28" width="9" customWidth="1"/>
    <col min="29" max="29" width="13.140625" bestFit="1" customWidth="1"/>
    <col min="30" max="30" width="14.42578125" bestFit="1" customWidth="1"/>
    <col min="31" max="31" width="8.42578125" customWidth="1"/>
    <col min="32" max="32" width="9.42578125" customWidth="1"/>
    <col min="33" max="33" width="13.140625" bestFit="1" customWidth="1"/>
    <col min="34" max="34" width="14.42578125" bestFit="1" customWidth="1"/>
    <col min="35" max="35" width="11" customWidth="1"/>
    <col min="36" max="36" width="10.42578125" customWidth="1"/>
    <col min="37" max="37" width="12.7109375" customWidth="1"/>
    <col min="38" max="38" width="14.28515625" bestFit="1" customWidth="1"/>
    <col min="39" max="99" width="15.5703125" customWidth="1"/>
  </cols>
  <sheetData>
    <row r="1" spans="1:38" ht="19.5" thickTop="1" x14ac:dyDescent="0.3">
      <c r="A1" s="769" t="s">
        <v>0</v>
      </c>
      <c r="B1" s="767" t="s">
        <v>2</v>
      </c>
      <c r="C1" s="760" t="s">
        <v>61</v>
      </c>
      <c r="D1" s="761"/>
      <c r="E1" s="761"/>
      <c r="F1" s="761"/>
      <c r="G1" s="761"/>
      <c r="H1" s="761"/>
      <c r="I1" s="761"/>
      <c r="J1" s="762"/>
      <c r="K1" s="760" t="s">
        <v>56</v>
      </c>
      <c r="L1" s="761"/>
      <c r="M1" s="761"/>
      <c r="N1" s="761"/>
      <c r="O1" s="761"/>
      <c r="P1" s="761"/>
      <c r="Q1" s="761"/>
      <c r="R1" s="762"/>
      <c r="S1" s="746" t="s">
        <v>57</v>
      </c>
      <c r="T1" s="747"/>
      <c r="U1" s="747"/>
      <c r="V1" s="747"/>
      <c r="W1" s="747"/>
      <c r="X1" s="747"/>
      <c r="Y1" s="747"/>
      <c r="Z1" s="748"/>
      <c r="AA1" s="746" t="s">
        <v>58</v>
      </c>
      <c r="AB1" s="747"/>
      <c r="AC1" s="747"/>
      <c r="AD1" s="747"/>
      <c r="AE1" s="747"/>
      <c r="AF1" s="747"/>
      <c r="AG1" s="747"/>
      <c r="AH1" s="748"/>
      <c r="AI1" s="746" t="s">
        <v>11</v>
      </c>
      <c r="AJ1" s="747"/>
      <c r="AK1" s="747"/>
      <c r="AL1" s="748"/>
    </row>
    <row r="2" spans="1:38" ht="15.75" x14ac:dyDescent="0.25">
      <c r="A2" s="770"/>
      <c r="B2" s="768"/>
      <c r="C2" s="749" t="s">
        <v>315</v>
      </c>
      <c r="D2" s="750"/>
      <c r="E2" s="750"/>
      <c r="F2" s="751"/>
      <c r="G2" s="752" t="s">
        <v>316</v>
      </c>
      <c r="H2" s="753"/>
      <c r="I2" s="753"/>
      <c r="J2" s="754"/>
      <c r="K2" s="749" t="s">
        <v>315</v>
      </c>
      <c r="L2" s="750"/>
      <c r="M2" s="750"/>
      <c r="N2" s="751"/>
      <c r="O2" s="752" t="s">
        <v>316</v>
      </c>
      <c r="P2" s="753"/>
      <c r="Q2" s="753"/>
      <c r="R2" s="754"/>
      <c r="S2" s="749" t="s">
        <v>315</v>
      </c>
      <c r="T2" s="750"/>
      <c r="U2" s="750"/>
      <c r="V2" s="751"/>
      <c r="W2" s="752" t="s">
        <v>316</v>
      </c>
      <c r="X2" s="753"/>
      <c r="Y2" s="753"/>
      <c r="Z2" s="754"/>
      <c r="AA2" s="749" t="s">
        <v>315</v>
      </c>
      <c r="AB2" s="750"/>
      <c r="AC2" s="750"/>
      <c r="AD2" s="751"/>
      <c r="AE2" s="752" t="s">
        <v>316</v>
      </c>
      <c r="AF2" s="753"/>
      <c r="AG2" s="753"/>
      <c r="AH2" s="754"/>
      <c r="AI2" s="755" t="s">
        <v>322</v>
      </c>
      <c r="AJ2" s="740" t="s">
        <v>321</v>
      </c>
      <c r="AK2" s="740" t="s">
        <v>323</v>
      </c>
      <c r="AL2" s="759" t="s">
        <v>324</v>
      </c>
    </row>
    <row r="3" spans="1:38" ht="15.75" x14ac:dyDescent="0.25">
      <c r="A3" s="770"/>
      <c r="B3" s="768"/>
      <c r="C3" s="255" t="s">
        <v>317</v>
      </c>
      <c r="D3" s="230" t="s">
        <v>318</v>
      </c>
      <c r="E3" s="230" t="s">
        <v>319</v>
      </c>
      <c r="F3" s="230" t="s">
        <v>320</v>
      </c>
      <c r="G3" s="231" t="s">
        <v>325</v>
      </c>
      <c r="H3" s="231" t="s">
        <v>326</v>
      </c>
      <c r="I3" s="231" t="s">
        <v>327</v>
      </c>
      <c r="J3" s="256" t="s">
        <v>328</v>
      </c>
      <c r="K3" s="255" t="s">
        <v>317</v>
      </c>
      <c r="L3" s="230" t="s">
        <v>318</v>
      </c>
      <c r="M3" s="230" t="s">
        <v>319</v>
      </c>
      <c r="N3" s="230" t="s">
        <v>320</v>
      </c>
      <c r="O3" s="231" t="s">
        <v>325</v>
      </c>
      <c r="P3" s="231" t="s">
        <v>326</v>
      </c>
      <c r="Q3" s="231" t="s">
        <v>327</v>
      </c>
      <c r="R3" s="256" t="s">
        <v>328</v>
      </c>
      <c r="S3" s="255" t="s">
        <v>317</v>
      </c>
      <c r="T3" s="230" t="s">
        <v>318</v>
      </c>
      <c r="U3" s="230" t="s">
        <v>319</v>
      </c>
      <c r="V3" s="230" t="s">
        <v>320</v>
      </c>
      <c r="W3" s="231" t="s">
        <v>325</v>
      </c>
      <c r="X3" s="231" t="s">
        <v>326</v>
      </c>
      <c r="Y3" s="231" t="s">
        <v>327</v>
      </c>
      <c r="Z3" s="256" t="s">
        <v>328</v>
      </c>
      <c r="AA3" s="255" t="s">
        <v>317</v>
      </c>
      <c r="AB3" s="230" t="s">
        <v>318</v>
      </c>
      <c r="AC3" s="230" t="s">
        <v>319</v>
      </c>
      <c r="AD3" s="230" t="s">
        <v>320</v>
      </c>
      <c r="AE3" s="231" t="s">
        <v>325</v>
      </c>
      <c r="AF3" s="231" t="s">
        <v>326</v>
      </c>
      <c r="AG3" s="231" t="s">
        <v>327</v>
      </c>
      <c r="AH3" s="256" t="s">
        <v>328</v>
      </c>
      <c r="AI3" s="755"/>
      <c r="AJ3" s="740"/>
      <c r="AK3" s="740"/>
      <c r="AL3" s="759"/>
    </row>
    <row r="4" spans="1:38" ht="47.25" customHeight="1" x14ac:dyDescent="0.25">
      <c r="A4" s="763" t="s">
        <v>10</v>
      </c>
      <c r="B4" s="262"/>
      <c r="C4" s="257"/>
      <c r="D4" s="233"/>
      <c r="E4" s="233"/>
      <c r="F4" s="233"/>
      <c r="G4" s="233"/>
      <c r="H4" s="233"/>
      <c r="I4" s="233"/>
      <c r="J4" s="258"/>
      <c r="K4" s="257"/>
      <c r="L4" s="233"/>
      <c r="M4" s="233"/>
      <c r="N4" s="233"/>
      <c r="O4" s="233"/>
      <c r="P4" s="233"/>
      <c r="Q4" s="233"/>
      <c r="R4" s="258"/>
      <c r="S4" s="257"/>
      <c r="T4" s="233"/>
      <c r="U4" s="233"/>
      <c r="V4" s="233"/>
      <c r="W4" s="233"/>
      <c r="X4" s="233"/>
      <c r="Y4" s="233"/>
      <c r="Z4" s="258"/>
      <c r="AA4" s="257"/>
      <c r="AB4" s="233"/>
      <c r="AC4" s="233"/>
      <c r="AD4" s="233"/>
      <c r="AE4" s="233"/>
      <c r="AF4" s="233"/>
      <c r="AG4" s="233"/>
      <c r="AH4" s="258"/>
      <c r="AI4" s="264" t="e">
        <f>SUM(C4,K4,S4,AA4)/SUM(G4,O4,W4,AE4)</f>
        <v>#DIV/0!</v>
      </c>
      <c r="AJ4" s="232" t="e">
        <f t="shared" ref="AJ4:AL4" si="0">SUM(D4,L4,T4,AB4)/SUM(H4,P4,X4,AF4)</f>
        <v>#DIV/0!</v>
      </c>
      <c r="AK4" s="232" t="e">
        <f t="shared" si="0"/>
        <v>#DIV/0!</v>
      </c>
      <c r="AL4" s="265" t="e">
        <f t="shared" si="0"/>
        <v>#DIV/0!</v>
      </c>
    </row>
    <row r="5" spans="1:38" ht="30.75" customHeight="1" x14ac:dyDescent="0.25">
      <c r="A5" s="763"/>
      <c r="B5" s="262"/>
      <c r="C5" s="257"/>
      <c r="D5" s="233"/>
      <c r="E5" s="233"/>
      <c r="F5" s="233"/>
      <c r="G5" s="233"/>
      <c r="H5" s="233"/>
      <c r="I5" s="233"/>
      <c r="J5" s="258"/>
      <c r="K5" s="257"/>
      <c r="L5" s="233"/>
      <c r="M5" s="233"/>
      <c r="N5" s="233"/>
      <c r="O5" s="233"/>
      <c r="P5" s="233"/>
      <c r="Q5" s="233"/>
      <c r="R5" s="258"/>
      <c r="S5" s="257"/>
      <c r="T5" s="233"/>
      <c r="U5" s="233"/>
      <c r="V5" s="233"/>
      <c r="W5" s="233"/>
      <c r="X5" s="233"/>
      <c r="Y5" s="233"/>
      <c r="Z5" s="258"/>
      <c r="AA5" s="257"/>
      <c r="AB5" s="233"/>
      <c r="AC5" s="233"/>
      <c r="AD5" s="233"/>
      <c r="AE5" s="233"/>
      <c r="AF5" s="233"/>
      <c r="AG5" s="233"/>
      <c r="AH5" s="258"/>
      <c r="AI5" s="264" t="e">
        <f t="shared" ref="AI5:AI12" si="1">SUM(C5,K5,S5,AA5)/SUM(G5,O5,W5,AE5)</f>
        <v>#DIV/0!</v>
      </c>
      <c r="AJ5" s="232" t="e">
        <f t="shared" ref="AJ5:AJ12" si="2">SUM(D5,L5,T5,AB5)/SUM(H5,P5,X5,AF5)</f>
        <v>#DIV/0!</v>
      </c>
      <c r="AK5" s="232" t="e">
        <f t="shared" ref="AK5:AK12" si="3">SUM(E5,M5,U5,AC5)/SUM(I5,Q5,Y5,AG5)</f>
        <v>#DIV/0!</v>
      </c>
      <c r="AL5" s="265" t="e">
        <f t="shared" ref="AL5:AL12" si="4">SUM(F5,N5,V5,AD5)/SUM(J5,R5,Z5,AH5)</f>
        <v>#DIV/0!</v>
      </c>
    </row>
    <row r="6" spans="1:38" ht="15.75" x14ac:dyDescent="0.25">
      <c r="A6" s="764" t="s">
        <v>64</v>
      </c>
      <c r="B6" s="262"/>
      <c r="C6" s="744"/>
      <c r="D6" s="742"/>
      <c r="E6" s="742"/>
      <c r="F6" s="745"/>
      <c r="G6" s="741"/>
      <c r="H6" s="742"/>
      <c r="I6" s="742"/>
      <c r="J6" s="743"/>
      <c r="K6" s="744"/>
      <c r="L6" s="742"/>
      <c r="M6" s="742"/>
      <c r="N6" s="745"/>
      <c r="O6" s="741"/>
      <c r="P6" s="742"/>
      <c r="Q6" s="742"/>
      <c r="R6" s="743"/>
      <c r="S6" s="744"/>
      <c r="T6" s="742"/>
      <c r="U6" s="742"/>
      <c r="V6" s="745"/>
      <c r="W6" s="741"/>
      <c r="X6" s="742"/>
      <c r="Y6" s="742"/>
      <c r="Z6" s="743"/>
      <c r="AA6" s="744"/>
      <c r="AB6" s="742"/>
      <c r="AC6" s="742"/>
      <c r="AD6" s="745"/>
      <c r="AE6" s="741"/>
      <c r="AF6" s="742"/>
      <c r="AG6" s="742"/>
      <c r="AH6" s="743"/>
      <c r="AI6" s="756">
        <f>SUM(C6,K6,S6,AA6)</f>
        <v>0</v>
      </c>
      <c r="AJ6" s="757"/>
      <c r="AK6" s="757"/>
      <c r="AL6" s="758"/>
    </row>
    <row r="7" spans="1:38" ht="15.75" x14ac:dyDescent="0.25">
      <c r="A7" s="765"/>
      <c r="B7" s="262"/>
      <c r="C7" s="257"/>
      <c r="D7" s="233"/>
      <c r="E7" s="233"/>
      <c r="F7" s="233"/>
      <c r="G7" s="233"/>
      <c r="H7" s="233"/>
      <c r="I7" s="233"/>
      <c r="J7" s="258"/>
      <c r="K7" s="257"/>
      <c r="L7" s="233"/>
      <c r="M7" s="233"/>
      <c r="N7" s="233"/>
      <c r="O7" s="233"/>
      <c r="P7" s="233"/>
      <c r="Q7" s="233"/>
      <c r="R7" s="258"/>
      <c r="S7" s="257"/>
      <c r="T7" s="233"/>
      <c r="U7" s="233"/>
      <c r="V7" s="233"/>
      <c r="W7" s="233"/>
      <c r="X7" s="233"/>
      <c r="Y7" s="233"/>
      <c r="Z7" s="258"/>
      <c r="AA7" s="257"/>
      <c r="AB7" s="233"/>
      <c r="AC7" s="233"/>
      <c r="AD7" s="233"/>
      <c r="AE7" s="233"/>
      <c r="AF7" s="233"/>
      <c r="AG7" s="233"/>
      <c r="AH7" s="258"/>
      <c r="AI7" s="264" t="e">
        <f t="shared" si="1"/>
        <v>#DIV/0!</v>
      </c>
      <c r="AJ7" s="232" t="e">
        <f t="shared" si="2"/>
        <v>#DIV/0!</v>
      </c>
      <c r="AK7" s="232" t="e">
        <f t="shared" si="3"/>
        <v>#DIV/0!</v>
      </c>
      <c r="AL7" s="265" t="e">
        <f t="shared" si="4"/>
        <v>#DIV/0!</v>
      </c>
    </row>
    <row r="8" spans="1:38" ht="15.75" x14ac:dyDescent="0.25">
      <c r="A8" s="765"/>
      <c r="B8" s="262"/>
      <c r="C8" s="257"/>
      <c r="D8" s="233"/>
      <c r="E8" s="233"/>
      <c r="F8" s="233"/>
      <c r="G8" s="233"/>
      <c r="H8" s="233"/>
      <c r="I8" s="233"/>
      <c r="J8" s="258"/>
      <c r="K8" s="257"/>
      <c r="L8" s="233"/>
      <c r="M8" s="233"/>
      <c r="N8" s="233"/>
      <c r="O8" s="233"/>
      <c r="P8" s="233"/>
      <c r="Q8" s="233"/>
      <c r="R8" s="258"/>
      <c r="S8" s="257"/>
      <c r="T8" s="233"/>
      <c r="U8" s="233"/>
      <c r="V8" s="233"/>
      <c r="W8" s="233"/>
      <c r="X8" s="233"/>
      <c r="Y8" s="233"/>
      <c r="Z8" s="258"/>
      <c r="AA8" s="257"/>
      <c r="AB8" s="233"/>
      <c r="AC8" s="233"/>
      <c r="AD8" s="233"/>
      <c r="AE8" s="233"/>
      <c r="AF8" s="233"/>
      <c r="AG8" s="233"/>
      <c r="AH8" s="258"/>
      <c r="AI8" s="264" t="e">
        <f t="shared" si="1"/>
        <v>#DIV/0!</v>
      </c>
      <c r="AJ8" s="232" t="e">
        <f t="shared" si="2"/>
        <v>#DIV/0!</v>
      </c>
      <c r="AK8" s="232" t="e">
        <f t="shared" si="3"/>
        <v>#DIV/0!</v>
      </c>
      <c r="AL8" s="265" t="e">
        <f t="shared" si="4"/>
        <v>#DIV/0!</v>
      </c>
    </row>
    <row r="9" spans="1:38" ht="15.75" x14ac:dyDescent="0.25">
      <c r="A9" s="765"/>
      <c r="B9" s="262"/>
      <c r="C9" s="257"/>
      <c r="D9" s="233"/>
      <c r="E9" s="233"/>
      <c r="F9" s="233"/>
      <c r="G9" s="233"/>
      <c r="H9" s="233"/>
      <c r="I9" s="233"/>
      <c r="J9" s="258"/>
      <c r="K9" s="257"/>
      <c r="L9" s="233"/>
      <c r="M9" s="233"/>
      <c r="N9" s="233"/>
      <c r="O9" s="233"/>
      <c r="P9" s="233"/>
      <c r="Q9" s="233"/>
      <c r="R9" s="258"/>
      <c r="S9" s="257"/>
      <c r="T9" s="233"/>
      <c r="U9" s="233"/>
      <c r="V9" s="233"/>
      <c r="W9" s="233"/>
      <c r="X9" s="233"/>
      <c r="Y9" s="233"/>
      <c r="Z9" s="258"/>
      <c r="AA9" s="257"/>
      <c r="AB9" s="233"/>
      <c r="AC9" s="233"/>
      <c r="AD9" s="233"/>
      <c r="AE9" s="233"/>
      <c r="AF9" s="233"/>
      <c r="AG9" s="233"/>
      <c r="AH9" s="258"/>
      <c r="AI9" s="264" t="e">
        <f t="shared" si="1"/>
        <v>#DIV/0!</v>
      </c>
      <c r="AJ9" s="232" t="e">
        <f t="shared" si="2"/>
        <v>#DIV/0!</v>
      </c>
      <c r="AK9" s="232" t="e">
        <f t="shared" si="3"/>
        <v>#DIV/0!</v>
      </c>
      <c r="AL9" s="265" t="e">
        <f t="shared" si="4"/>
        <v>#DIV/0!</v>
      </c>
    </row>
    <row r="10" spans="1:38" ht="33" customHeight="1" x14ac:dyDescent="0.25">
      <c r="A10" s="765"/>
      <c r="B10" s="262"/>
      <c r="C10" s="257"/>
      <c r="D10" s="233"/>
      <c r="E10" s="233"/>
      <c r="F10" s="233"/>
      <c r="G10" s="233"/>
      <c r="H10" s="233"/>
      <c r="I10" s="233"/>
      <c r="J10" s="258"/>
      <c r="K10" s="257"/>
      <c r="L10" s="233"/>
      <c r="M10" s="233"/>
      <c r="N10" s="233"/>
      <c r="O10" s="233"/>
      <c r="P10" s="233"/>
      <c r="Q10" s="233"/>
      <c r="R10" s="258"/>
      <c r="S10" s="257"/>
      <c r="T10" s="233"/>
      <c r="U10" s="233"/>
      <c r="V10" s="233"/>
      <c r="W10" s="233"/>
      <c r="X10" s="233"/>
      <c r="Y10" s="233"/>
      <c r="Z10" s="258"/>
      <c r="AA10" s="257"/>
      <c r="AB10" s="233"/>
      <c r="AC10" s="233"/>
      <c r="AD10" s="233"/>
      <c r="AE10" s="233"/>
      <c r="AF10" s="233"/>
      <c r="AG10" s="233"/>
      <c r="AH10" s="258"/>
      <c r="AI10" s="264" t="e">
        <f t="shared" si="1"/>
        <v>#DIV/0!</v>
      </c>
      <c r="AJ10" s="232" t="e">
        <f t="shared" si="2"/>
        <v>#DIV/0!</v>
      </c>
      <c r="AK10" s="232" t="e">
        <f t="shared" si="3"/>
        <v>#DIV/0!</v>
      </c>
      <c r="AL10" s="265" t="e">
        <f t="shared" si="4"/>
        <v>#DIV/0!</v>
      </c>
    </row>
    <row r="11" spans="1:38" ht="15.75" x14ac:dyDescent="0.25">
      <c r="A11" s="765"/>
      <c r="B11" s="262"/>
      <c r="C11" s="257"/>
      <c r="D11" s="233"/>
      <c r="E11" s="233"/>
      <c r="F11" s="233"/>
      <c r="G11" s="233"/>
      <c r="H11" s="233"/>
      <c r="I11" s="233"/>
      <c r="J11" s="258"/>
      <c r="K11" s="257"/>
      <c r="L11" s="233"/>
      <c r="M11" s="233"/>
      <c r="N11" s="233"/>
      <c r="O11" s="233"/>
      <c r="P11" s="233"/>
      <c r="Q11" s="233"/>
      <c r="R11" s="258"/>
      <c r="S11" s="257"/>
      <c r="T11" s="233"/>
      <c r="U11" s="233"/>
      <c r="V11" s="233"/>
      <c r="W11" s="233"/>
      <c r="X11" s="233"/>
      <c r="Y11" s="233"/>
      <c r="Z11" s="258"/>
      <c r="AA11" s="257"/>
      <c r="AB11" s="233"/>
      <c r="AC11" s="233"/>
      <c r="AD11" s="233"/>
      <c r="AE11" s="233"/>
      <c r="AF11" s="233"/>
      <c r="AG11" s="233"/>
      <c r="AH11" s="258"/>
      <c r="AI11" s="264" t="e">
        <f t="shared" si="1"/>
        <v>#DIV/0!</v>
      </c>
      <c r="AJ11" s="232" t="e">
        <f t="shared" si="2"/>
        <v>#DIV/0!</v>
      </c>
      <c r="AK11" s="232" t="e">
        <f t="shared" si="3"/>
        <v>#DIV/0!</v>
      </c>
      <c r="AL11" s="265" t="e">
        <f t="shared" si="4"/>
        <v>#DIV/0!</v>
      </c>
    </row>
    <row r="12" spans="1:38" ht="16.5" thickBot="1" x14ac:dyDescent="0.3">
      <c r="A12" s="766"/>
      <c r="B12" s="263"/>
      <c r="C12" s="259"/>
      <c r="D12" s="260"/>
      <c r="E12" s="260"/>
      <c r="F12" s="260"/>
      <c r="G12" s="260"/>
      <c r="H12" s="260"/>
      <c r="I12" s="260"/>
      <c r="J12" s="261"/>
      <c r="K12" s="259"/>
      <c r="L12" s="260"/>
      <c r="M12" s="260"/>
      <c r="N12" s="260"/>
      <c r="O12" s="260"/>
      <c r="P12" s="260"/>
      <c r="Q12" s="260"/>
      <c r="R12" s="261"/>
      <c r="S12" s="259"/>
      <c r="T12" s="260"/>
      <c r="U12" s="260"/>
      <c r="V12" s="260"/>
      <c r="W12" s="260"/>
      <c r="X12" s="260"/>
      <c r="Y12" s="260"/>
      <c r="Z12" s="261"/>
      <c r="AA12" s="259"/>
      <c r="AB12" s="260"/>
      <c r="AC12" s="260"/>
      <c r="AD12" s="260"/>
      <c r="AE12" s="260"/>
      <c r="AF12" s="260"/>
      <c r="AG12" s="260"/>
      <c r="AH12" s="261"/>
      <c r="AI12" s="266" t="e">
        <f t="shared" si="1"/>
        <v>#DIV/0!</v>
      </c>
      <c r="AJ12" s="267" t="e">
        <f t="shared" si="2"/>
        <v>#DIV/0!</v>
      </c>
      <c r="AK12" s="267" t="e">
        <f t="shared" si="3"/>
        <v>#DIV/0!</v>
      </c>
      <c r="AL12" s="268" t="e">
        <f t="shared" si="4"/>
        <v>#DIV/0!</v>
      </c>
    </row>
    <row r="13" spans="1:38" ht="15.75" thickTop="1" x14ac:dyDescent="0.25"/>
  </sheetData>
  <mergeCells count="30">
    <mergeCell ref="K1:R1"/>
    <mergeCell ref="K2:N2"/>
    <mergeCell ref="O2:R2"/>
    <mergeCell ref="A4:A5"/>
    <mergeCell ref="A6:A12"/>
    <mergeCell ref="C6:F6"/>
    <mergeCell ref="G6:J6"/>
    <mergeCell ref="K6:N6"/>
    <mergeCell ref="O6:R6"/>
    <mergeCell ref="C2:F2"/>
    <mergeCell ref="G2:J2"/>
    <mergeCell ref="B1:B3"/>
    <mergeCell ref="A1:A3"/>
    <mergeCell ref="C1:J1"/>
    <mergeCell ref="AK2:AK3"/>
    <mergeCell ref="W6:Z6"/>
    <mergeCell ref="AA6:AD6"/>
    <mergeCell ref="S1:Z1"/>
    <mergeCell ref="S2:V2"/>
    <mergeCell ref="W2:Z2"/>
    <mergeCell ref="AI2:AI3"/>
    <mergeCell ref="AA1:AH1"/>
    <mergeCell ref="S6:V6"/>
    <mergeCell ref="AE6:AH6"/>
    <mergeCell ref="AI6:AL6"/>
    <mergeCell ref="AA2:AD2"/>
    <mergeCell ref="AE2:AH2"/>
    <mergeCell ref="AI1:AL1"/>
    <mergeCell ref="AJ2:AJ3"/>
    <mergeCell ref="AL2:AL3"/>
  </mergeCells>
  <phoneticPr fontId="18" type="noConversion"/>
  <dataValidations count="1">
    <dataValidation allowBlank="1" showInputMessage="1" showErrorMessage="1" prompt="This sheet is for regular reporting on outcome indicators, main responsibility is for MEAL staff, but Coordinators and program team should als be aware of it and updated" sqref="A1:A3" xr:uid="{10775682-2C74-4011-9038-08979B18EEFC}"/>
  </dataValidations>
  <pageMargins left="0.7" right="0.7" top="0.75" bottom="0.75" header="0.3" footer="0.3"/>
  <ignoredErrors>
    <ignoredError sqref="AI5:AL5 AI7:AL12" evalError="1"/>
  </ignoredError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8"/>
  </sheetPr>
  <dimension ref="A1:AB107"/>
  <sheetViews>
    <sheetView topLeftCell="B1" zoomScale="85" zoomScaleNormal="85" workbookViewId="0">
      <selection activeCell="F8" sqref="F8:G8"/>
    </sheetView>
  </sheetViews>
  <sheetFormatPr defaultRowHeight="15" x14ac:dyDescent="0.25"/>
  <cols>
    <col min="1" max="1" width="13.85546875" customWidth="1"/>
    <col min="2" max="2" width="18.28515625" customWidth="1"/>
    <col min="3" max="3" width="22.28515625" customWidth="1"/>
    <col min="4" max="4" width="17.140625" customWidth="1"/>
    <col min="5" max="5" width="9.85546875" customWidth="1"/>
    <col min="6" max="6" width="11.7109375" bestFit="1" customWidth="1"/>
    <col min="7" max="7" width="13.85546875" bestFit="1" customWidth="1"/>
    <col min="8" max="8" width="11.28515625" bestFit="1" customWidth="1"/>
    <col min="9" max="9" width="12.28515625" bestFit="1" customWidth="1"/>
    <col min="10" max="10" width="11.28515625" bestFit="1" customWidth="1"/>
    <col min="11" max="11" width="12.140625" customWidth="1"/>
    <col min="12" max="12" width="9.85546875" customWidth="1"/>
    <col min="13" max="13" width="11.28515625" bestFit="1" customWidth="1"/>
    <col min="14" max="15" width="11.7109375" bestFit="1" customWidth="1"/>
    <col min="16" max="16" width="11.7109375" customWidth="1"/>
    <col min="17" max="17" width="11.28515625" bestFit="1" customWidth="1"/>
    <col min="18" max="18" width="10.7109375" customWidth="1"/>
    <col min="19" max="19" width="11.7109375" bestFit="1" customWidth="1"/>
    <col min="20" max="20" width="15.7109375" bestFit="1" customWidth="1"/>
  </cols>
  <sheetData>
    <row r="1" spans="1:28" ht="18.75" x14ac:dyDescent="0.3">
      <c r="A1" s="8"/>
      <c r="B1" s="795" t="s">
        <v>87</v>
      </c>
      <c r="C1" s="795"/>
      <c r="D1" s="9"/>
      <c r="E1" s="8"/>
      <c r="F1" s="8"/>
      <c r="G1" s="8"/>
      <c r="H1" s="8"/>
      <c r="I1" s="8"/>
      <c r="J1" s="8"/>
      <c r="K1" s="122" t="s">
        <v>49</v>
      </c>
      <c r="L1" s="381"/>
      <c r="M1" s="8"/>
      <c r="N1" s="215"/>
      <c r="O1" s="783"/>
      <c r="P1" s="783"/>
      <c r="Q1" s="783"/>
      <c r="R1" s="783"/>
      <c r="S1" s="215"/>
      <c r="T1" s="215"/>
      <c r="U1" s="215"/>
      <c r="V1" s="215"/>
      <c r="AA1" s="8"/>
    </row>
    <row r="2" spans="1:28" ht="15.75" x14ac:dyDescent="0.25">
      <c r="A2" s="8"/>
      <c r="B2" s="8"/>
      <c r="C2" s="8"/>
      <c r="D2" s="8"/>
      <c r="E2" s="8"/>
      <c r="F2" s="8"/>
      <c r="G2" s="8"/>
      <c r="H2" s="8"/>
      <c r="I2" s="8"/>
      <c r="J2" s="8"/>
      <c r="K2" s="122" t="s">
        <v>50</v>
      </c>
      <c r="L2" s="381"/>
      <c r="M2" s="8"/>
      <c r="N2" s="215"/>
      <c r="O2" s="13" t="s">
        <v>100</v>
      </c>
      <c r="P2" s="794" t="s">
        <v>200</v>
      </c>
      <c r="Q2" s="794"/>
      <c r="R2" s="215"/>
      <c r="S2" s="215"/>
      <c r="T2" s="215"/>
      <c r="U2" s="215"/>
      <c r="V2" s="215"/>
      <c r="AA2" s="8"/>
    </row>
    <row r="3" spans="1:28" ht="15.75" x14ac:dyDescent="0.25">
      <c r="A3" s="8"/>
      <c r="B3" s="799" t="s">
        <v>86</v>
      </c>
      <c r="C3" s="799"/>
      <c r="D3" s="8"/>
      <c r="E3" s="8"/>
      <c r="F3" s="8"/>
      <c r="G3" s="8"/>
      <c r="H3" s="8"/>
      <c r="I3" s="8"/>
      <c r="J3" s="8"/>
      <c r="K3" s="122" t="s">
        <v>51</v>
      </c>
      <c r="L3" s="381"/>
      <c r="M3" s="8"/>
      <c r="N3" s="215"/>
      <c r="O3" s="15" t="s">
        <v>101</v>
      </c>
      <c r="P3" s="793" t="s">
        <v>201</v>
      </c>
      <c r="Q3" s="793"/>
      <c r="R3" s="215"/>
      <c r="S3" s="215"/>
      <c r="T3" s="215"/>
      <c r="U3" s="215"/>
      <c r="V3" s="215"/>
      <c r="AA3" s="8"/>
    </row>
    <row r="4" spans="1:28" ht="15.75" x14ac:dyDescent="0.25">
      <c r="A4" s="8"/>
      <c r="B4" s="10" t="s">
        <v>80</v>
      </c>
      <c r="C4" s="16">
        <f>SUM(D7:E7)</f>
        <v>550</v>
      </c>
      <c r="D4" s="8"/>
      <c r="E4" s="8"/>
      <c r="F4" s="8"/>
      <c r="G4" s="8"/>
      <c r="H4" s="8"/>
      <c r="I4" s="8"/>
      <c r="J4" s="8"/>
      <c r="K4" s="122" t="s">
        <v>52</v>
      </c>
      <c r="L4" s="381"/>
      <c r="M4" s="8"/>
      <c r="N4" s="215"/>
      <c r="O4" s="23" t="s">
        <v>102</v>
      </c>
      <c r="P4" s="793" t="s">
        <v>103</v>
      </c>
      <c r="Q4" s="793"/>
      <c r="R4" s="215"/>
      <c r="S4" s="215"/>
      <c r="T4" s="215"/>
      <c r="U4" s="215"/>
      <c r="V4" s="215"/>
      <c r="AA4" s="8"/>
    </row>
    <row r="5" spans="1:28" ht="15.75" x14ac:dyDescent="0.25">
      <c r="A5" s="8"/>
      <c r="B5" s="11" t="s">
        <v>81</v>
      </c>
      <c r="C5" s="382"/>
      <c r="D5" s="8"/>
      <c r="E5" s="8"/>
      <c r="F5" s="8"/>
      <c r="G5" s="8"/>
      <c r="H5" s="8"/>
      <c r="I5" s="8"/>
      <c r="J5" s="8"/>
      <c r="K5" s="12"/>
      <c r="L5" s="12"/>
      <c r="M5" s="8"/>
      <c r="N5" s="215"/>
      <c r="O5" s="23" t="s">
        <v>104</v>
      </c>
      <c r="P5" s="793" t="s">
        <v>105</v>
      </c>
      <c r="Q5" s="793"/>
      <c r="R5" s="215"/>
      <c r="S5" s="215"/>
      <c r="T5" s="215"/>
      <c r="U5" s="215"/>
      <c r="V5" s="215"/>
      <c r="AA5" s="8"/>
    </row>
    <row r="6" spans="1:28" x14ac:dyDescent="0.25">
      <c r="A6" s="8"/>
      <c r="B6" s="800" t="s">
        <v>7</v>
      </c>
      <c r="C6" s="221" t="s">
        <v>53</v>
      </c>
      <c r="D6" s="13" t="s">
        <v>9</v>
      </c>
      <c r="E6" s="13" t="s">
        <v>8</v>
      </c>
      <c r="F6" s="13" t="s">
        <v>198</v>
      </c>
      <c r="G6" s="13" t="s">
        <v>199</v>
      </c>
      <c r="H6" s="13" t="s">
        <v>15</v>
      </c>
      <c r="I6" s="32" t="s">
        <v>111</v>
      </c>
      <c r="J6" s="13" t="s">
        <v>79</v>
      </c>
      <c r="K6" s="13" t="s">
        <v>244</v>
      </c>
      <c r="L6" s="794" t="s">
        <v>245</v>
      </c>
      <c r="M6" s="794"/>
      <c r="N6" s="215"/>
      <c r="O6" s="23" t="s">
        <v>106</v>
      </c>
      <c r="P6" s="793" t="s">
        <v>14</v>
      </c>
      <c r="Q6" s="793"/>
      <c r="R6" s="215"/>
      <c r="S6" s="215"/>
      <c r="T6" s="215"/>
      <c r="U6" s="215"/>
      <c r="V6" s="215"/>
      <c r="AB6" s="8"/>
    </row>
    <row r="7" spans="1:28" x14ac:dyDescent="0.25">
      <c r="A7" s="8"/>
      <c r="B7" s="800"/>
      <c r="C7" s="221" t="s">
        <v>54</v>
      </c>
      <c r="D7" s="15">
        <f>SUM(D12,D17,D22,D27)</f>
        <v>125</v>
      </c>
      <c r="E7" s="15">
        <f>SUM(E12,E17,E22,E27)</f>
        <v>425</v>
      </c>
      <c r="F7" s="16">
        <f>SUM(F12,F17,F22,F27)</f>
        <v>5</v>
      </c>
      <c r="G7" s="16">
        <f>SUM(G12,G17,G22,G27)</f>
        <v>3</v>
      </c>
      <c r="H7" s="15">
        <f>SUM(H12,H17,H22,H27)</f>
        <v>163</v>
      </c>
      <c r="I7" s="15">
        <f t="shared" ref="I7:K7" si="0">SUM(I12,I17,I22,I27)</f>
        <v>378</v>
      </c>
      <c r="J7" s="15">
        <f t="shared" si="0"/>
        <v>398</v>
      </c>
      <c r="K7" s="15">
        <f t="shared" si="0"/>
        <v>61</v>
      </c>
      <c r="L7" s="410">
        <f>SUM(L12,L17,L22,L27)</f>
        <v>4</v>
      </c>
      <c r="M7" s="410"/>
      <c r="N7" s="215"/>
      <c r="O7" s="23" t="s">
        <v>107</v>
      </c>
      <c r="P7" s="793" t="s">
        <v>108</v>
      </c>
      <c r="Q7" s="793"/>
      <c r="R7" s="215"/>
      <c r="S7" s="215"/>
      <c r="T7" s="215"/>
      <c r="U7" s="215"/>
      <c r="V7" s="215"/>
      <c r="Y7" s="8"/>
      <c r="Z7" s="8"/>
      <c r="AA7" s="8"/>
      <c r="AB7" s="8"/>
    </row>
    <row r="8" spans="1:28" x14ac:dyDescent="0.25">
      <c r="A8" s="8"/>
      <c r="B8" s="800"/>
      <c r="C8" s="10" t="s">
        <v>297</v>
      </c>
      <c r="D8" s="220">
        <f>SUM(F7:G7)/C4</f>
        <v>1.4545454545454545E-2</v>
      </c>
      <c r="F8" s="389">
        <f>F7/SUM(E43:F44,L43:M44,E60:F61,L60:M61,E77:F78,L77:M78,E94:F95,L94:M95)</f>
        <v>0.2</v>
      </c>
      <c r="G8" s="389">
        <f>G7/SUM(E51:F52,L51:M52,E68:F69,L68:M69,E85:F86,L85:M86,E102:F103,L102:M103)</f>
        <v>0.375</v>
      </c>
      <c r="H8" s="8"/>
      <c r="I8" s="8"/>
      <c r="J8" s="8"/>
      <c r="K8" s="8"/>
      <c r="N8" s="215"/>
      <c r="S8" s="215"/>
      <c r="T8" s="215"/>
      <c r="U8" s="215"/>
      <c r="V8" s="215"/>
      <c r="Y8" s="8"/>
      <c r="Z8" s="8"/>
      <c r="AA8" s="8"/>
      <c r="AB8" s="8"/>
    </row>
    <row r="9" spans="1:28" ht="15.75" thickBot="1" x14ac:dyDescent="0.3">
      <c r="A9" s="8"/>
      <c r="B9" s="800"/>
      <c r="C9" s="10" t="s">
        <v>349</v>
      </c>
      <c r="G9" s="8"/>
      <c r="H9" s="8"/>
      <c r="I9" s="8"/>
      <c r="J9" s="8"/>
      <c r="K9" s="8"/>
      <c r="N9" s="215"/>
      <c r="S9" s="215"/>
      <c r="T9" s="215"/>
      <c r="U9" s="215"/>
      <c r="V9" s="215"/>
      <c r="Y9" s="8"/>
      <c r="Z9" s="8"/>
      <c r="AA9" s="8"/>
      <c r="AB9" s="8"/>
    </row>
    <row r="10" spans="1:28" ht="16.5" customHeight="1" thickTop="1" x14ac:dyDescent="0.25">
      <c r="A10" s="8"/>
      <c r="B10" s="8"/>
      <c r="C10" s="8"/>
      <c r="D10" s="8"/>
      <c r="E10" s="8"/>
      <c r="F10" s="8"/>
      <c r="G10" s="8"/>
      <c r="H10" s="8"/>
      <c r="I10" s="8"/>
      <c r="J10" s="8"/>
      <c r="K10" s="8"/>
      <c r="N10" s="215"/>
      <c r="O10" s="784" t="s">
        <v>344</v>
      </c>
      <c r="P10" s="785"/>
      <c r="Q10" s="785"/>
      <c r="R10" s="785"/>
      <c r="S10" s="785"/>
      <c r="T10" s="786"/>
      <c r="U10" s="215"/>
      <c r="V10" s="215"/>
      <c r="Y10" s="8"/>
      <c r="Z10" s="8"/>
      <c r="AA10" s="8"/>
      <c r="AB10" s="8"/>
    </row>
    <row r="11" spans="1:28" ht="15" customHeight="1" x14ac:dyDescent="0.25">
      <c r="A11" s="8"/>
      <c r="B11" s="800" t="s">
        <v>55</v>
      </c>
      <c r="C11" s="10" t="s">
        <v>53</v>
      </c>
      <c r="D11" s="384" t="s">
        <v>9</v>
      </c>
      <c r="E11" s="13" t="s">
        <v>8</v>
      </c>
      <c r="F11" s="13" t="s">
        <v>198</v>
      </c>
      <c r="G11" s="13" t="s">
        <v>199</v>
      </c>
      <c r="H11" s="13" t="s">
        <v>15</v>
      </c>
      <c r="I11" s="32" t="s">
        <v>111</v>
      </c>
      <c r="J11" s="13" t="s">
        <v>79</v>
      </c>
      <c r="K11" s="13" t="s">
        <v>244</v>
      </c>
      <c r="L11" s="794" t="s">
        <v>245</v>
      </c>
      <c r="M11" s="794"/>
      <c r="N11" s="215"/>
      <c r="O11" s="787"/>
      <c r="P11" s="788"/>
      <c r="Q11" s="788"/>
      <c r="R11" s="788"/>
      <c r="S11" s="788"/>
      <c r="T11" s="789"/>
      <c r="U11" s="215"/>
      <c r="V11" s="215"/>
    </row>
    <row r="12" spans="1:28" x14ac:dyDescent="0.25">
      <c r="A12" s="8"/>
      <c r="B12" s="800"/>
      <c r="C12" s="10" t="s">
        <v>54</v>
      </c>
      <c r="D12" s="385">
        <f>S56</f>
        <v>40</v>
      </c>
      <c r="E12" s="15">
        <f>S48</f>
        <v>350</v>
      </c>
      <c r="F12" s="16">
        <f>SUM(T43:T44)</f>
        <v>0</v>
      </c>
      <c r="G12" s="16">
        <f>SUM(T51:T52)</f>
        <v>3</v>
      </c>
      <c r="H12" s="15">
        <f>SUM(S43:T44,S51:T52)</f>
        <v>73</v>
      </c>
      <c r="I12" s="15">
        <f>SUM(H48:I48,O48:P48,H56:I56,O56:P56)</f>
        <v>335</v>
      </c>
      <c r="J12" s="15">
        <f>SUM(S45:T45,S53:T53)</f>
        <v>335</v>
      </c>
      <c r="K12" s="15">
        <f>SUM(S46:T46,S54:T54)</f>
        <v>15</v>
      </c>
      <c r="L12" s="410">
        <f>SUM(S47:T47,S55:T55)</f>
        <v>0</v>
      </c>
      <c r="M12" s="410"/>
      <c r="N12" s="215"/>
      <c r="O12" s="787"/>
      <c r="P12" s="788"/>
      <c r="Q12" s="788"/>
      <c r="R12" s="788"/>
      <c r="S12" s="788"/>
      <c r="T12" s="789"/>
      <c r="U12" s="215"/>
      <c r="V12" s="215"/>
    </row>
    <row r="13" spans="1:28" x14ac:dyDescent="0.25">
      <c r="A13" s="18"/>
      <c r="B13" s="800"/>
      <c r="C13" s="10" t="s">
        <v>297</v>
      </c>
      <c r="D13" s="386" t="e">
        <f>SUM(F12:G12)/C9</f>
        <v>#VALUE!</v>
      </c>
      <c r="F13" s="19"/>
      <c r="G13" s="19"/>
      <c r="H13" s="19"/>
      <c r="I13" s="19"/>
      <c r="J13" s="19"/>
      <c r="K13" s="18"/>
      <c r="L13" s="18"/>
      <c r="M13" s="18"/>
      <c r="N13" s="215"/>
      <c r="O13" s="787"/>
      <c r="P13" s="788"/>
      <c r="Q13" s="788"/>
      <c r="R13" s="788"/>
      <c r="S13" s="788"/>
      <c r="T13" s="789"/>
      <c r="U13" s="215"/>
      <c r="V13" s="215"/>
    </row>
    <row r="14" spans="1:28" x14ac:dyDescent="0.25">
      <c r="A14" s="18"/>
      <c r="B14" s="800"/>
      <c r="C14" s="10" t="s">
        <v>349</v>
      </c>
      <c r="D14" s="387">
        <f>SUM(O56:R56)</f>
        <v>15</v>
      </c>
      <c r="E14" s="388">
        <f>SUM(O48:R48)</f>
        <v>0</v>
      </c>
      <c r="F14" s="19"/>
      <c r="G14" s="19"/>
      <c r="H14" s="19"/>
      <c r="I14" s="19"/>
      <c r="J14" s="19"/>
      <c r="K14" s="18"/>
      <c r="L14" s="18"/>
      <c r="M14" s="18"/>
      <c r="N14" s="215"/>
      <c r="O14" s="787"/>
      <c r="P14" s="788"/>
      <c r="Q14" s="788"/>
      <c r="R14" s="788"/>
      <c r="S14" s="788"/>
      <c r="T14" s="789"/>
      <c r="U14" s="215"/>
      <c r="V14" s="215"/>
    </row>
    <row r="15" spans="1:28" x14ac:dyDescent="0.25">
      <c r="A15" s="8"/>
      <c r="B15" s="8"/>
      <c r="C15" s="8"/>
      <c r="D15" s="8"/>
      <c r="E15" s="8"/>
      <c r="F15" s="8"/>
      <c r="G15" s="8"/>
      <c r="H15" s="8"/>
      <c r="I15" s="8"/>
      <c r="J15" s="8"/>
      <c r="K15" s="8"/>
      <c r="L15" s="8"/>
      <c r="M15" s="8"/>
      <c r="N15" s="215"/>
      <c r="O15" s="787"/>
      <c r="P15" s="788"/>
      <c r="Q15" s="788"/>
      <c r="R15" s="788"/>
      <c r="S15" s="788"/>
      <c r="T15" s="789"/>
      <c r="U15" s="215"/>
      <c r="V15" s="215"/>
    </row>
    <row r="16" spans="1:28" x14ac:dyDescent="0.25">
      <c r="A16" s="8"/>
      <c r="B16" s="800" t="s">
        <v>56</v>
      </c>
      <c r="C16" s="10" t="s">
        <v>53</v>
      </c>
      <c r="D16" s="384" t="s">
        <v>9</v>
      </c>
      <c r="E16" s="13" t="s">
        <v>8</v>
      </c>
      <c r="F16" s="13" t="s">
        <v>198</v>
      </c>
      <c r="G16" s="13" t="s">
        <v>199</v>
      </c>
      <c r="H16" s="13" t="s">
        <v>15</v>
      </c>
      <c r="I16" s="32" t="s">
        <v>111</v>
      </c>
      <c r="J16" s="13" t="s">
        <v>79</v>
      </c>
      <c r="K16" s="13" t="s">
        <v>244</v>
      </c>
      <c r="L16" s="794" t="s">
        <v>245</v>
      </c>
      <c r="M16" s="794"/>
      <c r="N16" s="215"/>
      <c r="O16" s="787"/>
      <c r="P16" s="788"/>
      <c r="Q16" s="788"/>
      <c r="R16" s="788"/>
      <c r="S16" s="788"/>
      <c r="T16" s="789"/>
      <c r="U16" s="215"/>
      <c r="V16" s="215"/>
    </row>
    <row r="17" spans="1:22" x14ac:dyDescent="0.25">
      <c r="A17" s="8"/>
      <c r="B17" s="800"/>
      <c r="C17" s="10" t="s">
        <v>54</v>
      </c>
      <c r="D17" s="385">
        <f>S73</f>
        <v>50</v>
      </c>
      <c r="E17" s="15">
        <f>S65</f>
        <v>15</v>
      </c>
      <c r="F17" s="16">
        <f>SUM(T60:T61)</f>
        <v>0</v>
      </c>
      <c r="G17" s="16">
        <f>SUM(T68:T69)</f>
        <v>0</v>
      </c>
      <c r="H17" s="15">
        <f>SUM(S60:T61,S68:T69)</f>
        <v>65</v>
      </c>
      <c r="I17" s="15">
        <f>SUM(G65:H65,O65:P65,G73:H73,O73:P73)</f>
        <v>15</v>
      </c>
      <c r="J17" s="15">
        <f>SUM(S62:T62,S70:T70)</f>
        <v>25</v>
      </c>
      <c r="K17" s="15">
        <f>SUM(S63:T63,S71:T71)</f>
        <v>0</v>
      </c>
      <c r="L17" s="410">
        <f>SUM(S64:T64,S72:T72)</f>
        <v>0</v>
      </c>
      <c r="M17" s="410"/>
      <c r="N17" s="215"/>
      <c r="O17" s="787"/>
      <c r="P17" s="788"/>
      <c r="Q17" s="788"/>
      <c r="R17" s="788"/>
      <c r="S17" s="788"/>
      <c r="T17" s="789"/>
      <c r="U17" s="215"/>
      <c r="V17" s="215"/>
    </row>
    <row r="18" spans="1:22" x14ac:dyDescent="0.25">
      <c r="A18" s="20"/>
      <c r="B18" s="800"/>
      <c r="C18" s="10" t="s">
        <v>297</v>
      </c>
      <c r="D18" s="386" t="e">
        <f>SUM(F17:G17)/C13</f>
        <v>#VALUE!</v>
      </c>
      <c r="F18" s="19"/>
      <c r="G18" s="19"/>
      <c r="H18" s="19"/>
      <c r="I18" s="19"/>
      <c r="J18" s="19"/>
      <c r="K18" s="20"/>
      <c r="L18" s="20"/>
      <c r="M18" s="20"/>
      <c r="N18" s="215"/>
      <c r="O18" s="787"/>
      <c r="P18" s="788"/>
      <c r="Q18" s="788"/>
      <c r="R18" s="788"/>
      <c r="S18" s="788"/>
      <c r="T18" s="789"/>
      <c r="U18" s="215"/>
      <c r="V18" s="215"/>
    </row>
    <row r="19" spans="1:22" x14ac:dyDescent="0.25">
      <c r="A19" s="20"/>
      <c r="B19" s="800"/>
      <c r="C19" s="10" t="s">
        <v>349</v>
      </c>
      <c r="D19" s="387">
        <f>SUM(O73:R73)</f>
        <v>5</v>
      </c>
      <c r="E19" s="388">
        <f>SUM(O65:R65)</f>
        <v>0</v>
      </c>
      <c r="F19" s="19"/>
      <c r="G19" s="19"/>
      <c r="H19" s="19"/>
      <c r="I19" s="19"/>
      <c r="J19" s="19"/>
      <c r="K19" s="20"/>
      <c r="L19" s="20"/>
      <c r="M19" s="20"/>
      <c r="N19" s="215"/>
      <c r="O19" s="787"/>
      <c r="P19" s="788"/>
      <c r="Q19" s="788"/>
      <c r="R19" s="788"/>
      <c r="S19" s="788"/>
      <c r="T19" s="789"/>
      <c r="U19" s="215"/>
      <c r="V19" s="215"/>
    </row>
    <row r="20" spans="1:22" x14ac:dyDescent="0.25">
      <c r="A20" s="8"/>
      <c r="B20" s="8"/>
      <c r="C20" s="8"/>
      <c r="D20" s="8"/>
      <c r="E20" s="8"/>
      <c r="F20" s="8"/>
      <c r="G20" s="8"/>
      <c r="H20" s="8"/>
      <c r="I20" s="8"/>
      <c r="J20" s="8"/>
      <c r="K20" s="8"/>
      <c r="L20" s="8"/>
      <c r="M20" s="8"/>
      <c r="N20" s="215"/>
      <c r="O20" s="787"/>
      <c r="P20" s="788"/>
      <c r="Q20" s="788"/>
      <c r="R20" s="788"/>
      <c r="S20" s="788"/>
      <c r="T20" s="789"/>
      <c r="U20" s="215"/>
      <c r="V20" s="215"/>
    </row>
    <row r="21" spans="1:22" x14ac:dyDescent="0.25">
      <c r="A21" s="8"/>
      <c r="B21" s="800" t="s">
        <v>57</v>
      </c>
      <c r="C21" s="10" t="s">
        <v>53</v>
      </c>
      <c r="D21" s="384" t="s">
        <v>9</v>
      </c>
      <c r="E21" s="13" t="s">
        <v>8</v>
      </c>
      <c r="F21" s="13" t="s">
        <v>198</v>
      </c>
      <c r="G21" s="13" t="s">
        <v>199</v>
      </c>
      <c r="H21" s="13" t="s">
        <v>15</v>
      </c>
      <c r="I21" s="32" t="s">
        <v>111</v>
      </c>
      <c r="J21" s="13" t="s">
        <v>79</v>
      </c>
      <c r="K21" s="13" t="s">
        <v>244</v>
      </c>
      <c r="L21" s="794" t="s">
        <v>245</v>
      </c>
      <c r="M21" s="794"/>
      <c r="N21" s="215"/>
      <c r="O21" s="787"/>
      <c r="P21" s="788"/>
      <c r="Q21" s="788"/>
      <c r="R21" s="788"/>
      <c r="S21" s="788"/>
      <c r="T21" s="789"/>
      <c r="U21" s="215"/>
      <c r="V21" s="215"/>
    </row>
    <row r="22" spans="1:22" x14ac:dyDescent="0.25">
      <c r="A22" s="8"/>
      <c r="B22" s="800"/>
      <c r="C22" s="10" t="s">
        <v>54</v>
      </c>
      <c r="D22" s="385">
        <f>S90</f>
        <v>15</v>
      </c>
      <c r="E22" s="15">
        <f>S82</f>
        <v>20</v>
      </c>
      <c r="F22" s="16">
        <f>SUM(T77:T78)</f>
        <v>5</v>
      </c>
      <c r="G22" s="16">
        <f>SUM(T85:T86)</f>
        <v>0</v>
      </c>
      <c r="H22" s="15">
        <f>SUM(S77:T78,S85:T86)</f>
        <v>25</v>
      </c>
      <c r="I22" s="15">
        <f>SUM(G82:H82,O82:P82,G90:H90,O90:P90)</f>
        <v>3</v>
      </c>
      <c r="J22" s="15">
        <f>SUM(S79:T79,S87:T87)</f>
        <v>18</v>
      </c>
      <c r="K22" s="15">
        <f>SUM(S80:T80,S88:T88)</f>
        <v>3</v>
      </c>
      <c r="L22" s="410">
        <f>SUM(S81:T81,S89:T89)</f>
        <v>2</v>
      </c>
      <c r="M22" s="410"/>
      <c r="N22" s="215"/>
      <c r="O22" s="787"/>
      <c r="P22" s="788"/>
      <c r="Q22" s="788"/>
      <c r="R22" s="788"/>
      <c r="S22" s="788"/>
      <c r="T22" s="789"/>
      <c r="U22" s="215"/>
      <c r="V22" s="215"/>
    </row>
    <row r="23" spans="1:22" x14ac:dyDescent="0.25">
      <c r="A23" s="20"/>
      <c r="B23" s="800"/>
      <c r="C23" s="10" t="s">
        <v>297</v>
      </c>
      <c r="D23" s="386" t="e">
        <f>SUM(F22:G22)/C18</f>
        <v>#VALUE!</v>
      </c>
      <c r="F23" s="19"/>
      <c r="G23" s="19"/>
      <c r="H23" s="19"/>
      <c r="I23" s="19"/>
      <c r="J23" s="19"/>
      <c r="K23" s="20"/>
      <c r="L23" s="20"/>
      <c r="M23" s="20"/>
      <c r="N23" s="215"/>
      <c r="O23" s="787"/>
      <c r="P23" s="788"/>
      <c r="Q23" s="788"/>
      <c r="R23" s="788"/>
      <c r="S23" s="788"/>
      <c r="T23" s="789"/>
      <c r="U23" s="215"/>
      <c r="V23" s="215"/>
    </row>
    <row r="24" spans="1:22" x14ac:dyDescent="0.25">
      <c r="A24" s="20"/>
      <c r="B24" s="800"/>
      <c r="C24" s="10" t="s">
        <v>349</v>
      </c>
      <c r="D24" s="387">
        <f>SUM(O90:R90)</f>
        <v>3</v>
      </c>
      <c r="E24" s="388">
        <f>SUM(O82:R82)</f>
        <v>2</v>
      </c>
      <c r="F24" s="19"/>
      <c r="G24" s="19"/>
      <c r="H24" s="19"/>
      <c r="I24" s="19"/>
      <c r="J24" s="19"/>
      <c r="K24" s="20"/>
      <c r="L24" s="20"/>
      <c r="M24" s="20"/>
      <c r="N24" s="215"/>
      <c r="O24" s="787"/>
      <c r="P24" s="788"/>
      <c r="Q24" s="788"/>
      <c r="R24" s="788"/>
      <c r="S24" s="788"/>
      <c r="T24" s="789"/>
      <c r="U24" s="215"/>
      <c r="V24" s="215"/>
    </row>
    <row r="25" spans="1:22" x14ac:dyDescent="0.25">
      <c r="A25" s="8"/>
      <c r="B25" s="8"/>
      <c r="C25" s="8"/>
      <c r="D25" s="8"/>
      <c r="E25" s="8"/>
      <c r="F25" s="8"/>
      <c r="G25" s="8"/>
      <c r="H25" s="8"/>
      <c r="I25" s="8"/>
      <c r="J25" s="8"/>
      <c r="K25" s="8"/>
      <c r="L25" s="8"/>
      <c r="M25" s="8"/>
      <c r="N25" s="215"/>
      <c r="O25" s="787"/>
      <c r="P25" s="788"/>
      <c r="Q25" s="788"/>
      <c r="R25" s="788"/>
      <c r="S25" s="788"/>
      <c r="T25" s="789"/>
      <c r="U25" s="215"/>
      <c r="V25" s="215"/>
    </row>
    <row r="26" spans="1:22" x14ac:dyDescent="0.25">
      <c r="A26" s="8"/>
      <c r="B26" s="800" t="s">
        <v>58</v>
      </c>
      <c r="C26" s="10" t="s">
        <v>53</v>
      </c>
      <c r="D26" s="384" t="s">
        <v>9</v>
      </c>
      <c r="E26" s="13" t="s">
        <v>8</v>
      </c>
      <c r="F26" s="13" t="s">
        <v>198</v>
      </c>
      <c r="G26" s="13" t="s">
        <v>199</v>
      </c>
      <c r="H26" s="13" t="s">
        <v>15</v>
      </c>
      <c r="I26" s="32" t="s">
        <v>111</v>
      </c>
      <c r="J26" s="13" t="s">
        <v>79</v>
      </c>
      <c r="K26" s="13" t="s">
        <v>244</v>
      </c>
      <c r="L26" s="794" t="s">
        <v>245</v>
      </c>
      <c r="M26" s="794"/>
      <c r="N26" s="215"/>
      <c r="O26" s="787"/>
      <c r="P26" s="788"/>
      <c r="Q26" s="788"/>
      <c r="R26" s="788"/>
      <c r="S26" s="788"/>
      <c r="T26" s="789"/>
      <c r="U26" s="215"/>
      <c r="V26" s="215"/>
    </row>
    <row r="27" spans="1:22" ht="15.75" thickBot="1" x14ac:dyDescent="0.3">
      <c r="A27" s="8"/>
      <c r="B27" s="800"/>
      <c r="C27" s="10" t="s">
        <v>54</v>
      </c>
      <c r="D27" s="385">
        <f>S107</f>
        <v>20</v>
      </c>
      <c r="E27" s="15">
        <f>S99</f>
        <v>40</v>
      </c>
      <c r="F27" s="16">
        <f>SUM(T94:T95)</f>
        <v>0</v>
      </c>
      <c r="G27" s="16">
        <f>SUM(T102:T103)</f>
        <v>0</v>
      </c>
      <c r="H27" s="15">
        <f>SUM(S94:T95,S102:T103)</f>
        <v>0</v>
      </c>
      <c r="I27" s="15">
        <f>SUM(H99:I99,O99:P99,H107:I107,O107:P107)</f>
        <v>25</v>
      </c>
      <c r="J27" s="15">
        <f>SUM(S96:T96,S104:T104)</f>
        <v>20</v>
      </c>
      <c r="K27" s="15">
        <f>SUM(S97:T97,S105:T105)</f>
        <v>43</v>
      </c>
      <c r="L27" s="410">
        <f>SUM(S98:T98,S106:T106)</f>
        <v>2</v>
      </c>
      <c r="M27" s="410"/>
      <c r="N27" s="215"/>
      <c r="O27" s="790"/>
      <c r="P27" s="791"/>
      <c r="Q27" s="791"/>
      <c r="R27" s="791"/>
      <c r="S27" s="791"/>
      <c r="T27" s="792"/>
      <c r="U27" s="215"/>
      <c r="V27" s="215"/>
    </row>
    <row r="28" spans="1:22" ht="15.75" thickTop="1" x14ac:dyDescent="0.25">
      <c r="A28" s="8"/>
      <c r="B28" s="800"/>
      <c r="C28" s="10" t="s">
        <v>297</v>
      </c>
      <c r="D28" s="386" t="e">
        <f>SUM(F27:G27)/C23</f>
        <v>#VALUE!</v>
      </c>
      <c r="F28" s="8"/>
      <c r="G28" s="8"/>
      <c r="H28" s="8"/>
      <c r="I28" s="8"/>
      <c r="J28" s="8"/>
      <c r="K28" s="8"/>
      <c r="L28" s="8"/>
      <c r="M28" s="8"/>
      <c r="N28" s="215"/>
      <c r="S28" s="215"/>
      <c r="T28" s="215"/>
      <c r="U28" s="215"/>
      <c r="V28" s="215"/>
    </row>
    <row r="29" spans="1:22" x14ac:dyDescent="0.25">
      <c r="A29" s="8"/>
      <c r="B29" s="800"/>
      <c r="C29" s="10" t="s">
        <v>349</v>
      </c>
      <c r="D29" s="387">
        <f>SUM(O107:R107)</f>
        <v>2</v>
      </c>
      <c r="E29" s="388">
        <f>SUM(O99:R99)</f>
        <v>3</v>
      </c>
      <c r="F29" s="8"/>
      <c r="G29" s="8"/>
      <c r="H29" s="8"/>
      <c r="I29" s="8"/>
      <c r="J29" s="8"/>
      <c r="K29" s="8"/>
      <c r="L29" s="8"/>
      <c r="M29" s="8"/>
      <c r="N29" s="215"/>
      <c r="S29" s="215"/>
      <c r="T29" s="215"/>
      <c r="U29" s="215"/>
      <c r="V29" s="215"/>
    </row>
    <row r="30" spans="1:22" x14ac:dyDescent="0.25">
      <c r="A30" s="8"/>
      <c r="B30" s="8"/>
      <c r="C30" s="8"/>
      <c r="D30" s="8"/>
      <c r="E30" s="8"/>
      <c r="F30" s="8"/>
      <c r="G30" s="8"/>
      <c r="H30" s="8"/>
      <c r="I30" s="8"/>
      <c r="J30" s="8"/>
      <c r="K30" s="8"/>
      <c r="L30" s="8"/>
      <c r="M30" s="8"/>
      <c r="N30" s="215"/>
      <c r="S30" s="215"/>
      <c r="T30" s="215"/>
      <c r="U30" s="215"/>
      <c r="V30" s="215"/>
    </row>
    <row r="31" spans="1:22" x14ac:dyDescent="0.25">
      <c r="A31" s="8"/>
      <c r="B31" s="17" t="s">
        <v>59</v>
      </c>
      <c r="C31" s="22" t="s">
        <v>82</v>
      </c>
      <c r="D31" s="22" t="s">
        <v>83</v>
      </c>
      <c r="E31" s="22" t="s">
        <v>84</v>
      </c>
      <c r="F31" s="8"/>
      <c r="G31" s="8"/>
      <c r="H31" s="8"/>
      <c r="I31" s="8"/>
      <c r="J31" s="8"/>
      <c r="K31" s="8"/>
      <c r="L31" s="8"/>
      <c r="M31" s="8"/>
      <c r="N31" s="215"/>
      <c r="S31" s="215"/>
      <c r="T31" s="215"/>
      <c r="U31" s="215"/>
      <c r="V31" s="215"/>
    </row>
    <row r="32" spans="1:22" x14ac:dyDescent="0.25">
      <c r="A32" s="8"/>
      <c r="B32" s="17" t="s">
        <v>54</v>
      </c>
      <c r="C32" s="21" cm="1">
        <f t="array" ref="C32">SUMPRODUCT(($B$43:$B$47=C31)*($S$43:$T$47)+($B$51:$B$55=C31)*($S$51:$T$55)+($B$68:$B$72=C31)*($S$68:$T$72)+($B$60:$B$64=C31)*($S$60:$T$64)+($B$77:$B$81=$E$31)*($S$77:$T$81)+($B$85:$B$89=C31)*($S$85:$T$89)+($B$94:$B$98=C31)*($S$94:$T$98)+($B$102:$B$106=C31)*($S$102:$T$106))</f>
        <v>8</v>
      </c>
      <c r="D32" s="21" cm="1">
        <f t="array" ref="D32">SUMPRODUCT(($B$43:$B$47=D31)*($S$43:$T$47)+($B$51:$B$55=D31)*($S$51:$T$55)+($B$68:$B$72=D31)*($S$68:$T$72)+($B$60:$B$64=D31)*($S$60:$T$64)+($B$77:$B$81=$E$31)*($S$77:$T$81)+($B$85:$B$89=D31)*($S$85:$T$89)+($B$94:$B$98=D31)*($S$94:$T$98)+($B$102:$B$106=D31)*($S$102:$T$106))</f>
        <v>15</v>
      </c>
      <c r="E32" s="21" cm="1">
        <f t="array" ref="E32">SUMPRODUCT(($B$43:$B$47=E31)*($S$43:$T$47)+($B$51:$B$55=E31)*($S$51:$T$55)+($B$68:$B$72=E31)*($S$68:$T$72)+($B$60:$B$64=E31)*($S$60:$T$64)+($B$77:$B$81=$E$31)*($S$77:$T$81)+($B$85:$B$89=E31)*($S$85:$T$89)+($B$94:$B$98=E31)*($S$94:$T$98)+($B$102:$B$106=E31)*($S$102:$T$106))</f>
        <v>355</v>
      </c>
      <c r="F32" s="8"/>
      <c r="G32" s="8"/>
      <c r="H32" s="8"/>
      <c r="I32" s="8"/>
      <c r="J32" s="8"/>
      <c r="K32" s="8"/>
      <c r="L32" s="8"/>
      <c r="M32" s="8"/>
      <c r="N32" s="215"/>
      <c r="O32" s="215"/>
      <c r="P32" s="215"/>
      <c r="Q32" s="215"/>
      <c r="R32" s="215"/>
      <c r="S32" s="215"/>
      <c r="T32" s="215"/>
      <c r="U32" s="215"/>
      <c r="V32" s="215"/>
    </row>
    <row r="33" spans="1:22" s="38" customFormat="1" x14ac:dyDescent="0.25">
      <c r="A33" s="20"/>
      <c r="B33"/>
      <c r="C33"/>
      <c r="D33"/>
      <c r="E33"/>
      <c r="F33" s="20"/>
      <c r="G33" s="20"/>
      <c r="H33" s="20"/>
      <c r="I33" s="20"/>
      <c r="J33" s="20"/>
      <c r="K33" s="20"/>
      <c r="L33" s="20"/>
      <c r="M33" s="20"/>
      <c r="N33" s="215"/>
      <c r="O33" s="215"/>
      <c r="P33" s="215"/>
      <c r="Q33" s="215"/>
      <c r="R33" s="215"/>
      <c r="S33" s="215"/>
      <c r="T33" s="215"/>
      <c r="U33" s="215"/>
      <c r="V33" s="215"/>
    </row>
    <row r="34" spans="1:22" ht="45" x14ac:dyDescent="0.25">
      <c r="A34" s="8"/>
      <c r="B34" s="222" t="s">
        <v>298</v>
      </c>
      <c r="C34" s="222" t="s">
        <v>240</v>
      </c>
      <c r="D34" s="222" t="s">
        <v>239</v>
      </c>
      <c r="E34" s="222" t="s">
        <v>241</v>
      </c>
      <c r="F34" s="222" t="s">
        <v>243</v>
      </c>
      <c r="G34" s="222" t="s">
        <v>242</v>
      </c>
      <c r="H34" s="8"/>
      <c r="I34" s="8"/>
      <c r="J34" s="8"/>
      <c r="K34" s="8"/>
      <c r="L34" s="8"/>
      <c r="M34" s="8"/>
      <c r="N34" s="215"/>
      <c r="O34" s="215"/>
      <c r="P34" s="215"/>
      <c r="Q34" s="215"/>
      <c r="R34" s="215"/>
      <c r="S34" s="215"/>
      <c r="T34" s="215"/>
      <c r="U34" s="215"/>
      <c r="V34" s="215"/>
    </row>
    <row r="35" spans="1:22" x14ac:dyDescent="0.25">
      <c r="A35" s="8"/>
      <c r="B35" s="17" t="s">
        <v>54</v>
      </c>
      <c r="C35" s="21" cm="1">
        <f t="array" ref="C35">SUMPRODUCT(($C$43:$C$47=C34)*($S$43:$T$47)+($C$51:$C$55=C34)*($S$51:$T$55)+($C$68:$C$72=C34)*($S$68:$T$72)+($C$60:$C$64=C34)*($S$60:$T$64)+($C$77:$C$81=$E$31)*($S$77:$T$81)+($C$85:$C$89=C34)*($S$85:$T$89)+($C$94:$C$98=C34)*($S$94:$T$98)+($C$102:$C$106=C34)*($S$102:$T$106))</f>
        <v>8</v>
      </c>
      <c r="D35" s="21" cm="1">
        <f t="array" ref="D35">SUMPRODUCT(($C$43:$C$47=D34)*($S$43:$T$47)+($C$51:$C$55=D34)*($S$51:$T$55)+($C$68:$C$72=D34)*($S$68:$T$72)+($C$60:$C$64=D34)*($S$60:$T$64)+($C$77:$C$81=$E$31)*($S$77:$T$81)+($C$85:$C$89=D34)*($S$85:$T$89)+($C$94:$C$98=D34)*($S$94:$T$98)+($C$102:$C$106=D34)*($S$102:$T$106))</f>
        <v>130</v>
      </c>
      <c r="E35" s="21" cm="1">
        <f t="array" ref="E35">SUMPRODUCT(($C$43:$C$47=E34)*($S$43:$T$47)+($C$51:$C$55=E34)*($S$51:$T$55)+($C$68:$C$72=E34)*($S$68:$T$72)+($C$60:$C$64=E34)*($S$60:$T$64)+($C$77:$C$81=$E$31)*($S$77:$T$81)+($C$85:$C$89=E34)*($S$85:$T$89)+($C$94:$C$98=E34)*($S$94:$T$98)+($C$102:$C$106=E34)*($S$102:$T$106))</f>
        <v>398</v>
      </c>
      <c r="F35" s="21" cm="1">
        <f t="array" ref="F35">SUMPRODUCT(($C$43:$C$47=F34)*($S$43:$T$47)+($C$51:$C$55=F34)*($S$51:$T$55)+($C$68:$C$72=F34)*($S$68:$T$72)+($C$60:$C$64=F34)*($S$60:$T$64)+($C$77:$C$81=$E$31)*($S$77:$T$81)+($C$85:$C$89=F34)*($S$85:$T$89)+($C$94:$C$98=F34)*($S$94:$T$98)+($C$102:$C$106=F34)*($S$102:$T$106))</f>
        <v>61</v>
      </c>
      <c r="G35" s="21" cm="1">
        <f t="array" ref="G35">SUMPRODUCT(($C$43:$C$47=G34)*($S$43:$T$47)+($C$51:$C$55=G34)*($S$51:$T$55)+($C$68:$C$72=G34)*($S$68:$T$72)+($C$60:$C$64=G34)*($S$60:$T$64)+($C$77:$C$81=$E$31)*($S$77:$T$81)+($C$85:$C$89=G34)*($S$85:$T$89)+($C$94:$C$98=G34)*($S$94:$T$98)+($C$102:$C$106=G34)*($S$102:$T$106))</f>
        <v>2</v>
      </c>
      <c r="H35" s="8"/>
      <c r="I35" s="8"/>
      <c r="J35" s="8"/>
      <c r="K35" s="8"/>
      <c r="L35" s="8"/>
      <c r="M35" s="8"/>
      <c r="N35" s="215"/>
      <c r="O35" s="215"/>
      <c r="P35" s="215"/>
      <c r="Q35" s="215"/>
      <c r="R35" s="215"/>
      <c r="S35" s="215"/>
      <c r="T35" s="215"/>
      <c r="U35" s="215"/>
      <c r="V35" s="215"/>
    </row>
    <row r="36" spans="1:22" x14ac:dyDescent="0.25">
      <c r="A36" s="8"/>
      <c r="B36" s="14"/>
      <c r="C36" s="8"/>
      <c r="D36" s="8"/>
      <c r="E36" s="8"/>
      <c r="F36" s="8"/>
      <c r="G36" s="8"/>
      <c r="H36" s="8"/>
      <c r="I36" s="8"/>
      <c r="J36" s="8"/>
      <c r="K36" s="8"/>
      <c r="L36" s="8"/>
      <c r="M36" s="8"/>
      <c r="N36" s="215"/>
      <c r="O36" s="215"/>
      <c r="P36" s="215"/>
      <c r="Q36" s="215"/>
      <c r="R36" s="215"/>
      <c r="S36" s="215"/>
      <c r="T36" s="215"/>
      <c r="U36" s="215"/>
      <c r="V36" s="215"/>
    </row>
    <row r="37" spans="1:22" s="364" customFormat="1" x14ac:dyDescent="0.25">
      <c r="A37" s="362"/>
      <c r="B37" s="362"/>
      <c r="C37" s="362"/>
      <c r="D37" s="362"/>
      <c r="E37" s="362"/>
      <c r="F37" s="362"/>
      <c r="G37" s="362"/>
      <c r="H37" s="362"/>
      <c r="I37" s="362"/>
      <c r="J37" s="362"/>
      <c r="K37" s="362"/>
      <c r="L37" s="362"/>
      <c r="M37" s="362"/>
      <c r="N37" s="363"/>
      <c r="O37" s="363"/>
      <c r="P37" s="363"/>
      <c r="Q37" s="363"/>
      <c r="R37" s="363"/>
      <c r="S37" s="363"/>
      <c r="T37" s="363"/>
      <c r="U37" s="363"/>
      <c r="V37" s="363"/>
    </row>
    <row r="38" spans="1:22" s="364" customFormat="1" ht="15.75" thickBot="1" x14ac:dyDescent="0.3">
      <c r="A38" s="362"/>
      <c r="B38" s="362"/>
      <c r="C38" s="362"/>
      <c r="D38" s="362"/>
      <c r="E38" s="362"/>
      <c r="F38" s="362"/>
      <c r="G38" s="362"/>
      <c r="H38" s="362"/>
      <c r="I38" s="362"/>
      <c r="J38" s="362"/>
      <c r="K38" s="362"/>
      <c r="L38" s="362"/>
      <c r="M38" s="362"/>
      <c r="N38" s="362"/>
      <c r="O38" s="362"/>
      <c r="P38" s="362"/>
    </row>
    <row r="39" spans="1:22" s="364" customFormat="1" ht="20.25" thickTop="1" thickBot="1" x14ac:dyDescent="0.35">
      <c r="A39" s="362"/>
      <c r="B39" s="796" t="s">
        <v>60</v>
      </c>
      <c r="C39" s="797"/>
      <c r="D39" s="798"/>
      <c r="E39" s="362"/>
      <c r="F39" s="362"/>
      <c r="G39" s="362"/>
      <c r="H39" s="362"/>
      <c r="I39" s="362"/>
      <c r="J39" s="362"/>
      <c r="K39" s="362"/>
      <c r="L39" s="362"/>
      <c r="M39" s="362"/>
      <c r="N39" s="362"/>
      <c r="O39" s="362"/>
      <c r="P39" s="362"/>
    </row>
    <row r="40" spans="1:22" s="364" customFormat="1" ht="19.5" thickTop="1" x14ac:dyDescent="0.3">
      <c r="A40" s="362"/>
      <c r="B40" s="365"/>
      <c r="C40" s="362"/>
      <c r="D40" s="362"/>
      <c r="E40" s="362"/>
      <c r="F40" s="362"/>
      <c r="G40" s="362"/>
      <c r="H40" s="362"/>
      <c r="I40" s="362"/>
      <c r="J40" s="362"/>
      <c r="K40" s="362"/>
      <c r="L40" s="362"/>
      <c r="M40" s="362"/>
      <c r="N40" s="362"/>
      <c r="O40" s="362"/>
      <c r="P40" s="362"/>
    </row>
    <row r="41" spans="1:22" s="364" customFormat="1" ht="15.75" x14ac:dyDescent="0.25">
      <c r="A41" s="366"/>
      <c r="B41" s="771" t="s">
        <v>289</v>
      </c>
      <c r="C41" s="771"/>
      <c r="D41" s="772"/>
      <c r="E41" s="773" t="s">
        <v>85</v>
      </c>
      <c r="F41" s="774"/>
      <c r="G41" s="774"/>
      <c r="H41" s="774"/>
      <c r="I41" s="774"/>
      <c r="J41" s="774"/>
      <c r="K41" s="775"/>
      <c r="L41" s="776" t="s">
        <v>284</v>
      </c>
      <c r="M41" s="777"/>
      <c r="N41" s="777"/>
      <c r="O41" s="777"/>
      <c r="P41" s="777"/>
      <c r="Q41" s="777"/>
      <c r="R41" s="778"/>
      <c r="S41" s="779" t="s">
        <v>7</v>
      </c>
      <c r="T41" s="780"/>
    </row>
    <row r="42" spans="1:22" s="364" customFormat="1" x14ac:dyDescent="0.25">
      <c r="A42" s="366"/>
      <c r="B42" s="367" t="s">
        <v>283</v>
      </c>
      <c r="C42" s="368" t="s">
        <v>91</v>
      </c>
      <c r="D42" s="369" t="s">
        <v>5</v>
      </c>
      <c r="E42" s="370" t="s">
        <v>279</v>
      </c>
      <c r="F42" s="371" t="s">
        <v>92</v>
      </c>
      <c r="G42" s="371" t="s">
        <v>280</v>
      </c>
      <c r="H42" s="372" t="s">
        <v>281</v>
      </c>
      <c r="I42" s="371" t="s">
        <v>282</v>
      </c>
      <c r="J42" s="371" t="s">
        <v>112</v>
      </c>
      <c r="K42" s="373" t="s">
        <v>113</v>
      </c>
      <c r="L42" s="370" t="s">
        <v>279</v>
      </c>
      <c r="M42" s="374" t="s">
        <v>92</v>
      </c>
      <c r="N42" s="374" t="s">
        <v>280</v>
      </c>
      <c r="O42" s="372" t="s">
        <v>281</v>
      </c>
      <c r="P42" s="374" t="s">
        <v>282</v>
      </c>
      <c r="Q42" s="374" t="s">
        <v>112</v>
      </c>
      <c r="R42" s="375" t="s">
        <v>113</v>
      </c>
      <c r="S42" s="376" t="s">
        <v>8</v>
      </c>
      <c r="T42" s="377" t="s">
        <v>287</v>
      </c>
    </row>
    <row r="43" spans="1:22" s="364" customFormat="1" x14ac:dyDescent="0.25">
      <c r="A43" s="366"/>
      <c r="B43" s="217" t="s">
        <v>82</v>
      </c>
      <c r="C43" s="111" t="s">
        <v>240</v>
      </c>
      <c r="D43" s="218" t="s">
        <v>15</v>
      </c>
      <c r="E43" s="378"/>
      <c r="F43" s="111"/>
      <c r="G43" s="111"/>
      <c r="H43" s="379"/>
      <c r="I43" s="111"/>
      <c r="J43" s="111"/>
      <c r="K43" s="216"/>
      <c r="L43" s="378"/>
      <c r="M43" s="111"/>
      <c r="N43" s="111"/>
      <c r="O43" s="379"/>
      <c r="P43" s="111"/>
      <c r="Q43" s="111"/>
      <c r="R43" s="216"/>
      <c r="S43" s="217">
        <f>SUM(E43:K43)</f>
        <v>0</v>
      </c>
      <c r="T43" s="216">
        <f>SUM(L43:R43)</f>
        <v>0</v>
      </c>
    </row>
    <row r="44" spans="1:22" s="364" customFormat="1" ht="30" x14ac:dyDescent="0.25">
      <c r="A44" s="366"/>
      <c r="B44" s="217"/>
      <c r="C44" s="150" t="s">
        <v>239</v>
      </c>
      <c r="D44" s="219" t="s">
        <v>238</v>
      </c>
      <c r="E44" s="378"/>
      <c r="F44" s="111"/>
      <c r="G44" s="111">
        <v>50</v>
      </c>
      <c r="H44" s="379"/>
      <c r="I44" s="111"/>
      <c r="J44" s="111"/>
      <c r="K44" s="216"/>
      <c r="L44" s="378"/>
      <c r="M44" s="111"/>
      <c r="N44" s="111"/>
      <c r="O44" s="379"/>
      <c r="P44" s="111"/>
      <c r="Q44" s="111"/>
      <c r="R44" s="216"/>
      <c r="S44" s="217">
        <f>SUM(E44:K44)</f>
        <v>50</v>
      </c>
      <c r="T44" s="216">
        <f>SUM(L44:R44)</f>
        <v>0</v>
      </c>
    </row>
    <row r="45" spans="1:22" s="364" customFormat="1" x14ac:dyDescent="0.25">
      <c r="A45" s="366"/>
      <c r="B45" s="217" t="s">
        <v>84</v>
      </c>
      <c r="C45" s="111" t="s">
        <v>241</v>
      </c>
      <c r="D45" s="218" t="s">
        <v>79</v>
      </c>
      <c r="E45" s="378"/>
      <c r="F45" s="111"/>
      <c r="G45" s="111"/>
      <c r="H45" s="379">
        <v>100</v>
      </c>
      <c r="I45" s="111">
        <v>200</v>
      </c>
      <c r="J45" s="111"/>
      <c r="K45" s="216"/>
      <c r="L45" s="378"/>
      <c r="M45" s="111"/>
      <c r="N45" s="111"/>
      <c r="O45" s="379"/>
      <c r="P45" s="111"/>
      <c r="Q45" s="111"/>
      <c r="R45" s="216"/>
      <c r="S45" s="217">
        <f>SUM(E45:K45)</f>
        <v>300</v>
      </c>
      <c r="T45" s="216">
        <f>SUM(L45:R45)</f>
        <v>0</v>
      </c>
    </row>
    <row r="46" spans="1:22" s="364" customFormat="1" x14ac:dyDescent="0.25">
      <c r="A46" s="366"/>
      <c r="B46" s="217"/>
      <c r="C46" s="111" t="s">
        <v>243</v>
      </c>
      <c r="D46" s="218" t="s">
        <v>244</v>
      </c>
      <c r="E46" s="378"/>
      <c r="F46" s="111"/>
      <c r="G46" s="111"/>
      <c r="H46" s="379"/>
      <c r="I46" s="111"/>
      <c r="J46" s="111"/>
      <c r="K46" s="216"/>
      <c r="L46" s="378"/>
      <c r="M46" s="111"/>
      <c r="N46" s="111"/>
      <c r="O46" s="379"/>
      <c r="P46" s="111"/>
      <c r="Q46" s="111"/>
      <c r="R46" s="216"/>
      <c r="S46" s="217">
        <f>SUM(E46:K46)</f>
        <v>0</v>
      </c>
      <c r="T46" s="216">
        <f>SUM(L46:R46)</f>
        <v>0</v>
      </c>
    </row>
    <row r="47" spans="1:22" s="364" customFormat="1" x14ac:dyDescent="0.25">
      <c r="A47" s="366"/>
      <c r="B47" s="217"/>
      <c r="C47" s="112" t="s">
        <v>242</v>
      </c>
      <c r="D47" s="218" t="s">
        <v>221</v>
      </c>
      <c r="E47" s="378"/>
      <c r="F47" s="111"/>
      <c r="G47" s="111"/>
      <c r="H47" s="379"/>
      <c r="I47" s="111"/>
      <c r="J47" s="111"/>
      <c r="K47" s="216"/>
      <c r="L47" s="378"/>
      <c r="M47" s="111"/>
      <c r="N47" s="111"/>
      <c r="O47" s="379"/>
      <c r="P47" s="111"/>
      <c r="Q47" s="111"/>
      <c r="R47" s="216"/>
      <c r="S47" s="217">
        <f>SUM(E47:K47)</f>
        <v>0</v>
      </c>
      <c r="T47" s="216">
        <f>SUM(L47:R47)</f>
        <v>0</v>
      </c>
    </row>
    <row r="48" spans="1:22" s="364" customFormat="1" x14ac:dyDescent="0.25">
      <c r="A48" s="366"/>
      <c r="B48" s="781" t="s">
        <v>93</v>
      </c>
      <c r="C48" s="781"/>
      <c r="D48" s="782"/>
      <c r="E48" s="217">
        <f>SUM(E43:E47)</f>
        <v>0</v>
      </c>
      <c r="F48" s="217">
        <f t="shared" ref="F48:K48" si="1">SUM(F43:F47)</f>
        <v>0</v>
      </c>
      <c r="G48" s="217">
        <f t="shared" si="1"/>
        <v>50</v>
      </c>
      <c r="H48" s="217">
        <f t="shared" si="1"/>
        <v>100</v>
      </c>
      <c r="I48" s="217">
        <f t="shared" si="1"/>
        <v>200</v>
      </c>
      <c r="J48" s="217">
        <f t="shared" si="1"/>
        <v>0</v>
      </c>
      <c r="K48" s="217">
        <f t="shared" si="1"/>
        <v>0</v>
      </c>
      <c r="L48" s="217">
        <f>SUM(L43:L47)</f>
        <v>0</v>
      </c>
      <c r="M48" s="217">
        <f t="shared" ref="M48" si="2">SUM(M43:M47)</f>
        <v>0</v>
      </c>
      <c r="N48" s="217">
        <f t="shared" ref="N48" si="3">SUM(N43:N47)</f>
        <v>0</v>
      </c>
      <c r="O48" s="217">
        <f t="shared" ref="O48" si="4">SUM(O43:O47)</f>
        <v>0</v>
      </c>
      <c r="P48" s="217">
        <f t="shared" ref="P48" si="5">SUM(P43:P47)</f>
        <v>0</v>
      </c>
      <c r="Q48" s="217">
        <f t="shared" ref="Q48" si="6">SUM(Q43:Q47)</f>
        <v>0</v>
      </c>
      <c r="R48" s="217">
        <f t="shared" ref="R48" si="7">SUM(R43:R47)</f>
        <v>0</v>
      </c>
      <c r="S48" s="217">
        <f>SUM(S43:S47)</f>
        <v>350</v>
      </c>
      <c r="T48" s="216">
        <f>SUM(T43:T47)</f>
        <v>0</v>
      </c>
    </row>
    <row r="49" spans="1:20" s="364" customFormat="1" ht="15.75" x14ac:dyDescent="0.25">
      <c r="A49" s="380"/>
      <c r="B49" s="771" t="s">
        <v>290</v>
      </c>
      <c r="C49" s="771"/>
      <c r="D49" s="772"/>
      <c r="E49" s="773" t="s">
        <v>285</v>
      </c>
      <c r="F49" s="774"/>
      <c r="G49" s="774"/>
      <c r="H49" s="774"/>
      <c r="I49" s="774"/>
      <c r="J49" s="774"/>
      <c r="K49" s="775"/>
      <c r="L49" s="776" t="s">
        <v>286</v>
      </c>
      <c r="M49" s="777"/>
      <c r="N49" s="777"/>
      <c r="O49" s="777"/>
      <c r="P49" s="777"/>
      <c r="Q49" s="777"/>
      <c r="R49" s="778"/>
      <c r="S49" s="779" t="s">
        <v>7</v>
      </c>
      <c r="T49" s="780"/>
    </row>
    <row r="50" spans="1:20" s="364" customFormat="1" x14ac:dyDescent="0.25">
      <c r="A50" s="380"/>
      <c r="B50" s="367" t="s">
        <v>283</v>
      </c>
      <c r="C50" s="368" t="s">
        <v>91</v>
      </c>
      <c r="D50" s="369" t="s">
        <v>5</v>
      </c>
      <c r="E50" s="370" t="s">
        <v>279</v>
      </c>
      <c r="F50" s="371" t="s">
        <v>92</v>
      </c>
      <c r="G50" s="371" t="s">
        <v>280</v>
      </c>
      <c r="H50" s="372" t="s">
        <v>281</v>
      </c>
      <c r="I50" s="371" t="s">
        <v>282</v>
      </c>
      <c r="J50" s="371" t="s">
        <v>112</v>
      </c>
      <c r="K50" s="373" t="s">
        <v>113</v>
      </c>
      <c r="L50" s="370" t="s">
        <v>279</v>
      </c>
      <c r="M50" s="374" t="s">
        <v>92</v>
      </c>
      <c r="N50" s="374" t="s">
        <v>280</v>
      </c>
      <c r="O50" s="372" t="s">
        <v>281</v>
      </c>
      <c r="P50" s="374" t="s">
        <v>282</v>
      </c>
      <c r="Q50" s="374" t="s">
        <v>112</v>
      </c>
      <c r="R50" s="375" t="s">
        <v>113</v>
      </c>
      <c r="S50" s="376" t="s">
        <v>285</v>
      </c>
      <c r="T50" s="377" t="s">
        <v>288</v>
      </c>
    </row>
    <row r="51" spans="1:20" s="364" customFormat="1" x14ac:dyDescent="0.25">
      <c r="A51" s="380"/>
      <c r="B51" s="217" t="s">
        <v>82</v>
      </c>
      <c r="C51" s="111" t="s">
        <v>240</v>
      </c>
      <c r="D51" s="218" t="s">
        <v>15</v>
      </c>
      <c r="E51" s="378"/>
      <c r="F51" s="111">
        <v>5</v>
      </c>
      <c r="G51" s="111"/>
      <c r="H51" s="379"/>
      <c r="I51" s="111"/>
      <c r="J51" s="111"/>
      <c r="K51" s="216"/>
      <c r="L51" s="378"/>
      <c r="M51" s="111">
        <v>3</v>
      </c>
      <c r="N51" s="111"/>
      <c r="O51" s="379"/>
      <c r="P51" s="111"/>
      <c r="Q51" s="111"/>
      <c r="R51" s="216"/>
      <c r="S51" s="217">
        <f>SUM(E51:K51)</f>
        <v>5</v>
      </c>
      <c r="T51" s="216">
        <f>SUM(L51:R51)</f>
        <v>3</v>
      </c>
    </row>
    <row r="52" spans="1:20" s="364" customFormat="1" ht="30" x14ac:dyDescent="0.25">
      <c r="A52" s="380"/>
      <c r="B52" s="217"/>
      <c r="C52" s="150" t="s">
        <v>239</v>
      </c>
      <c r="D52" s="219" t="s">
        <v>238</v>
      </c>
      <c r="E52" s="378"/>
      <c r="F52" s="111"/>
      <c r="G52" s="111">
        <v>15</v>
      </c>
      <c r="H52" s="379"/>
      <c r="I52" s="111"/>
      <c r="J52" s="111"/>
      <c r="K52" s="216"/>
      <c r="L52" s="378"/>
      <c r="M52" s="111"/>
      <c r="N52" s="111"/>
      <c r="O52" s="379"/>
      <c r="P52" s="111"/>
      <c r="Q52" s="111"/>
      <c r="R52" s="216"/>
      <c r="S52" s="217">
        <f t="shared" ref="S52:S55" si="8">SUM(E52:K52)</f>
        <v>15</v>
      </c>
      <c r="T52" s="216">
        <f t="shared" ref="T52:T55" si="9">SUM(L52:R52)</f>
        <v>0</v>
      </c>
    </row>
    <row r="53" spans="1:20" s="364" customFormat="1" x14ac:dyDescent="0.25">
      <c r="A53" s="380"/>
      <c r="B53" s="217" t="s">
        <v>84</v>
      </c>
      <c r="C53" s="111" t="s">
        <v>241</v>
      </c>
      <c r="D53" s="218" t="s">
        <v>79</v>
      </c>
      <c r="E53" s="378"/>
      <c r="F53" s="111"/>
      <c r="G53" s="111"/>
      <c r="H53" s="379"/>
      <c r="I53" s="111">
        <v>20</v>
      </c>
      <c r="J53" s="111"/>
      <c r="K53" s="216"/>
      <c r="L53" s="378"/>
      <c r="M53" s="111"/>
      <c r="N53" s="111"/>
      <c r="O53" s="379">
        <v>15</v>
      </c>
      <c r="P53" s="111"/>
      <c r="Q53" s="111"/>
      <c r="R53" s="216"/>
      <c r="S53" s="217">
        <f t="shared" si="8"/>
        <v>20</v>
      </c>
      <c r="T53" s="216">
        <f t="shared" si="9"/>
        <v>15</v>
      </c>
    </row>
    <row r="54" spans="1:20" s="364" customFormat="1" x14ac:dyDescent="0.25">
      <c r="A54" s="380"/>
      <c r="B54" s="217"/>
      <c r="C54" s="111" t="s">
        <v>243</v>
      </c>
      <c r="D54" s="218" t="s">
        <v>244</v>
      </c>
      <c r="E54" s="378"/>
      <c r="F54" s="111"/>
      <c r="G54" s="111"/>
      <c r="H54" s="379"/>
      <c r="I54" s="111"/>
      <c r="J54" s="111"/>
      <c r="K54" s="216"/>
      <c r="L54" s="378"/>
      <c r="M54" s="111">
        <v>15</v>
      </c>
      <c r="N54" s="111"/>
      <c r="O54" s="379"/>
      <c r="P54" s="111"/>
      <c r="Q54" s="111"/>
      <c r="R54" s="216"/>
      <c r="S54" s="217">
        <f t="shared" si="8"/>
        <v>0</v>
      </c>
      <c r="T54" s="216">
        <f t="shared" si="9"/>
        <v>15</v>
      </c>
    </row>
    <row r="55" spans="1:20" s="364" customFormat="1" x14ac:dyDescent="0.25">
      <c r="A55" s="380"/>
      <c r="B55" s="217"/>
      <c r="C55" s="112" t="s">
        <v>242</v>
      </c>
      <c r="D55" s="218" t="s">
        <v>221</v>
      </c>
      <c r="E55" s="378"/>
      <c r="F55" s="111"/>
      <c r="G55" s="111"/>
      <c r="H55" s="379"/>
      <c r="I55" s="111"/>
      <c r="J55" s="111"/>
      <c r="K55" s="216"/>
      <c r="L55" s="378"/>
      <c r="M55" s="111"/>
      <c r="N55" s="111"/>
      <c r="O55" s="379"/>
      <c r="P55" s="111"/>
      <c r="Q55" s="111"/>
      <c r="R55" s="216"/>
      <c r="S55" s="217">
        <f t="shared" si="8"/>
        <v>0</v>
      </c>
      <c r="T55" s="216">
        <f t="shared" si="9"/>
        <v>0</v>
      </c>
    </row>
    <row r="56" spans="1:20" s="364" customFormat="1" x14ac:dyDescent="0.25">
      <c r="A56" s="380"/>
      <c r="B56" s="781" t="s">
        <v>93</v>
      </c>
      <c r="C56" s="781"/>
      <c r="D56" s="782"/>
      <c r="E56" s="217">
        <f>SUM(E51:E55)</f>
        <v>0</v>
      </c>
      <c r="F56" s="217">
        <f t="shared" ref="F56" si="10">SUM(F51:F55)</f>
        <v>5</v>
      </c>
      <c r="G56" s="217">
        <f t="shared" ref="G56" si="11">SUM(G51:G55)</f>
        <v>15</v>
      </c>
      <c r="H56" s="217">
        <f t="shared" ref="H56" si="12">SUM(H51:H55)</f>
        <v>0</v>
      </c>
      <c r="I56" s="217">
        <f t="shared" ref="I56" si="13">SUM(I51:I55)</f>
        <v>20</v>
      </c>
      <c r="J56" s="217">
        <f t="shared" ref="J56" si="14">SUM(J51:J55)</f>
        <v>0</v>
      </c>
      <c r="K56" s="217">
        <f t="shared" ref="K56" si="15">SUM(K51:K55)</f>
        <v>0</v>
      </c>
      <c r="L56" s="217">
        <f>SUM(L51:L55)</f>
        <v>0</v>
      </c>
      <c r="M56" s="217">
        <f t="shared" ref="M56" si="16">SUM(M51:M55)</f>
        <v>18</v>
      </c>
      <c r="N56" s="217">
        <f t="shared" ref="N56" si="17">SUM(N51:N55)</f>
        <v>0</v>
      </c>
      <c r="O56" s="217">
        <f t="shared" ref="O56" si="18">SUM(O51:O55)</f>
        <v>15</v>
      </c>
      <c r="P56" s="217">
        <f t="shared" ref="P56" si="19">SUM(P51:P55)</f>
        <v>0</v>
      </c>
      <c r="Q56" s="217">
        <f t="shared" ref="Q56" si="20">SUM(Q51:Q55)</f>
        <v>0</v>
      </c>
      <c r="R56" s="217">
        <f t="shared" ref="R56" si="21">SUM(R51:R55)</f>
        <v>0</v>
      </c>
      <c r="S56" s="217">
        <f>SUM(S51:S55)</f>
        <v>40</v>
      </c>
      <c r="T56" s="216">
        <f>SUM(T51:T55)</f>
        <v>33</v>
      </c>
    </row>
    <row r="57" spans="1:20" s="364" customFormat="1" x14ac:dyDescent="0.25"/>
    <row r="58" spans="1:20" s="364" customFormat="1" ht="15.75" x14ac:dyDescent="0.25">
      <c r="A58" s="380"/>
      <c r="B58" s="771" t="s">
        <v>295</v>
      </c>
      <c r="C58" s="771"/>
      <c r="D58" s="772"/>
      <c r="E58" s="773" t="s">
        <v>85</v>
      </c>
      <c r="F58" s="774"/>
      <c r="G58" s="774"/>
      <c r="H58" s="774"/>
      <c r="I58" s="774"/>
      <c r="J58" s="774"/>
      <c r="K58" s="775"/>
      <c r="L58" s="776" t="s">
        <v>284</v>
      </c>
      <c r="M58" s="777"/>
      <c r="N58" s="777"/>
      <c r="O58" s="777"/>
      <c r="P58" s="777"/>
      <c r="Q58" s="777"/>
      <c r="R58" s="778"/>
      <c r="S58" s="779" t="s">
        <v>7</v>
      </c>
      <c r="T58" s="780"/>
    </row>
    <row r="59" spans="1:20" s="364" customFormat="1" x14ac:dyDescent="0.25">
      <c r="A59" s="380"/>
      <c r="B59" s="367" t="s">
        <v>283</v>
      </c>
      <c r="C59" s="368" t="s">
        <v>91</v>
      </c>
      <c r="D59" s="369" t="s">
        <v>5</v>
      </c>
      <c r="E59" s="370" t="s">
        <v>279</v>
      </c>
      <c r="F59" s="371" t="s">
        <v>92</v>
      </c>
      <c r="G59" s="371" t="s">
        <v>280</v>
      </c>
      <c r="H59" s="372" t="s">
        <v>281</v>
      </c>
      <c r="I59" s="371" t="s">
        <v>282</v>
      </c>
      <c r="J59" s="371" t="s">
        <v>112</v>
      </c>
      <c r="K59" s="373" t="s">
        <v>113</v>
      </c>
      <c r="L59" s="370" t="s">
        <v>279</v>
      </c>
      <c r="M59" s="374" t="s">
        <v>92</v>
      </c>
      <c r="N59" s="374" t="s">
        <v>280</v>
      </c>
      <c r="O59" s="372" t="s">
        <v>281</v>
      </c>
      <c r="P59" s="374" t="s">
        <v>282</v>
      </c>
      <c r="Q59" s="374" t="s">
        <v>112</v>
      </c>
      <c r="R59" s="375" t="s">
        <v>113</v>
      </c>
      <c r="S59" s="376" t="s">
        <v>8</v>
      </c>
      <c r="T59" s="377" t="s">
        <v>287</v>
      </c>
    </row>
    <row r="60" spans="1:20" s="364" customFormat="1" x14ac:dyDescent="0.25">
      <c r="A60" s="380"/>
      <c r="B60" s="217" t="s">
        <v>82</v>
      </c>
      <c r="C60" s="111" t="s">
        <v>240</v>
      </c>
      <c r="D60" s="218" t="s">
        <v>15</v>
      </c>
      <c r="E60" s="378"/>
      <c r="F60" s="111"/>
      <c r="G60" s="111"/>
      <c r="H60" s="379"/>
      <c r="I60" s="111"/>
      <c r="J60" s="111"/>
      <c r="K60" s="216"/>
      <c r="L60" s="378"/>
      <c r="M60" s="111"/>
      <c r="N60" s="111"/>
      <c r="O60" s="379"/>
      <c r="P60" s="111"/>
      <c r="Q60" s="111"/>
      <c r="R60" s="216"/>
      <c r="S60" s="217">
        <f>SUM(E60:K60)</f>
        <v>0</v>
      </c>
      <c r="T60" s="216">
        <f>SUM(L60:R60)</f>
        <v>0</v>
      </c>
    </row>
    <row r="61" spans="1:20" s="364" customFormat="1" ht="30" x14ac:dyDescent="0.25">
      <c r="A61" s="380"/>
      <c r="B61" s="217" t="s">
        <v>83</v>
      </c>
      <c r="C61" s="150" t="s">
        <v>239</v>
      </c>
      <c r="D61" s="219" t="s">
        <v>238</v>
      </c>
      <c r="E61" s="378"/>
      <c r="F61" s="111"/>
      <c r="G61" s="111"/>
      <c r="H61" s="379">
        <v>15</v>
      </c>
      <c r="I61" s="111"/>
      <c r="J61" s="111"/>
      <c r="K61" s="216"/>
      <c r="L61" s="378"/>
      <c r="M61" s="111"/>
      <c r="N61" s="111"/>
      <c r="O61" s="379"/>
      <c r="P61" s="111"/>
      <c r="Q61" s="111"/>
      <c r="R61" s="216"/>
      <c r="S61" s="217">
        <f>SUM(E61:K61)</f>
        <v>15</v>
      </c>
      <c r="T61" s="216">
        <f>SUM(L61:R61)</f>
        <v>0</v>
      </c>
    </row>
    <row r="62" spans="1:20" s="364" customFormat="1" x14ac:dyDescent="0.25">
      <c r="A62" s="380"/>
      <c r="B62" s="217" t="s">
        <v>84</v>
      </c>
      <c r="C62" s="111" t="s">
        <v>241</v>
      </c>
      <c r="D62" s="218" t="s">
        <v>79</v>
      </c>
      <c r="E62" s="378"/>
      <c r="F62" s="111"/>
      <c r="G62" s="111"/>
      <c r="H62" s="379"/>
      <c r="I62" s="111"/>
      <c r="J62" s="111"/>
      <c r="K62" s="216"/>
      <c r="L62" s="378"/>
      <c r="M62" s="111"/>
      <c r="N62" s="111">
        <v>20</v>
      </c>
      <c r="O62" s="379"/>
      <c r="P62" s="111"/>
      <c r="Q62" s="111"/>
      <c r="R62" s="216"/>
      <c r="S62" s="217">
        <f>SUM(E62:K62)</f>
        <v>0</v>
      </c>
      <c r="T62" s="216">
        <f>SUM(L62:R62)</f>
        <v>20</v>
      </c>
    </row>
    <row r="63" spans="1:20" s="364" customFormat="1" x14ac:dyDescent="0.25">
      <c r="A63" s="380"/>
      <c r="B63" s="217"/>
      <c r="C63" s="111" t="s">
        <v>243</v>
      </c>
      <c r="D63" s="218" t="s">
        <v>244</v>
      </c>
      <c r="E63" s="378"/>
      <c r="F63" s="111"/>
      <c r="G63" s="111"/>
      <c r="H63" s="379"/>
      <c r="I63" s="111"/>
      <c r="J63" s="111"/>
      <c r="K63" s="216"/>
      <c r="L63" s="378"/>
      <c r="M63" s="111"/>
      <c r="N63" s="111"/>
      <c r="O63" s="379"/>
      <c r="P63" s="111"/>
      <c r="Q63" s="111"/>
      <c r="R63" s="216"/>
      <c r="S63" s="217">
        <f>SUM(E63:K63)</f>
        <v>0</v>
      </c>
      <c r="T63" s="216">
        <f>SUM(L63:R63)</f>
        <v>0</v>
      </c>
    </row>
    <row r="64" spans="1:20" s="364" customFormat="1" x14ac:dyDescent="0.25">
      <c r="A64" s="380"/>
      <c r="B64" s="217"/>
      <c r="C64" s="112" t="s">
        <v>242</v>
      </c>
      <c r="D64" s="218" t="s">
        <v>221</v>
      </c>
      <c r="E64" s="378"/>
      <c r="F64" s="111"/>
      <c r="G64" s="111"/>
      <c r="H64" s="379"/>
      <c r="I64" s="111"/>
      <c r="J64" s="111"/>
      <c r="K64" s="216"/>
      <c r="L64" s="378"/>
      <c r="M64" s="111"/>
      <c r="N64" s="111"/>
      <c r="O64" s="379"/>
      <c r="P64" s="111"/>
      <c r="Q64" s="111"/>
      <c r="R64" s="216"/>
      <c r="S64" s="217">
        <f>SUM(E64:K64)</f>
        <v>0</v>
      </c>
      <c r="T64" s="216">
        <f>SUM(L64:R64)</f>
        <v>0</v>
      </c>
    </row>
    <row r="65" spans="1:20" s="364" customFormat="1" x14ac:dyDescent="0.25">
      <c r="A65" s="380"/>
      <c r="B65" s="781" t="s">
        <v>88</v>
      </c>
      <c r="C65" s="781"/>
      <c r="D65" s="782"/>
      <c r="E65" s="217">
        <f>SUM(E60:E64)</f>
        <v>0</v>
      </c>
      <c r="F65" s="217">
        <f t="shared" ref="F65" si="22">SUM(F60:F64)</f>
        <v>0</v>
      </c>
      <c r="G65" s="217">
        <f t="shared" ref="G65" si="23">SUM(G60:G64)</f>
        <v>0</v>
      </c>
      <c r="H65" s="217">
        <f t="shared" ref="H65" si="24">SUM(H60:H64)</f>
        <v>15</v>
      </c>
      <c r="I65" s="217">
        <f t="shared" ref="I65" si="25">SUM(I60:I64)</f>
        <v>0</v>
      </c>
      <c r="J65" s="217">
        <f t="shared" ref="J65" si="26">SUM(J60:J64)</f>
        <v>0</v>
      </c>
      <c r="K65" s="217">
        <f t="shared" ref="K65" si="27">SUM(K60:K64)</f>
        <v>0</v>
      </c>
      <c r="L65" s="217">
        <f>SUM(L60:L64)</f>
        <v>0</v>
      </c>
      <c r="M65" s="217">
        <f t="shared" ref="M65" si="28">SUM(M60:M64)</f>
        <v>0</v>
      </c>
      <c r="N65" s="217">
        <f t="shared" ref="N65" si="29">SUM(N60:N64)</f>
        <v>20</v>
      </c>
      <c r="O65" s="217">
        <f t="shared" ref="O65" si="30">SUM(O60:O64)</f>
        <v>0</v>
      </c>
      <c r="P65" s="217">
        <f t="shared" ref="P65" si="31">SUM(P60:P64)</f>
        <v>0</v>
      </c>
      <c r="Q65" s="217">
        <f t="shared" ref="Q65" si="32">SUM(Q60:Q64)</f>
        <v>0</v>
      </c>
      <c r="R65" s="217">
        <f t="shared" ref="R65" si="33">SUM(R60:R64)</f>
        <v>0</v>
      </c>
      <c r="S65" s="217">
        <f>SUM(S60:S64)</f>
        <v>15</v>
      </c>
      <c r="T65" s="216">
        <f>SUM(T60:T64)</f>
        <v>20</v>
      </c>
    </row>
    <row r="66" spans="1:20" s="364" customFormat="1" ht="15.75" x14ac:dyDescent="0.25">
      <c r="A66" s="380"/>
      <c r="B66" s="771" t="s">
        <v>296</v>
      </c>
      <c r="C66" s="771"/>
      <c r="D66" s="772"/>
      <c r="E66" s="773" t="s">
        <v>285</v>
      </c>
      <c r="F66" s="774"/>
      <c r="G66" s="774"/>
      <c r="H66" s="774"/>
      <c r="I66" s="774"/>
      <c r="J66" s="774"/>
      <c r="K66" s="775"/>
      <c r="L66" s="776" t="s">
        <v>286</v>
      </c>
      <c r="M66" s="777"/>
      <c r="N66" s="777"/>
      <c r="O66" s="777"/>
      <c r="P66" s="777"/>
      <c r="Q66" s="777"/>
      <c r="R66" s="778"/>
      <c r="S66" s="779" t="s">
        <v>7</v>
      </c>
      <c r="T66" s="780"/>
    </row>
    <row r="67" spans="1:20" s="364" customFormat="1" x14ac:dyDescent="0.25">
      <c r="A67" s="380"/>
      <c r="B67" s="367" t="s">
        <v>283</v>
      </c>
      <c r="C67" s="368" t="s">
        <v>91</v>
      </c>
      <c r="D67" s="369" t="s">
        <v>5</v>
      </c>
      <c r="E67" s="370" t="s">
        <v>279</v>
      </c>
      <c r="F67" s="371" t="s">
        <v>92</v>
      </c>
      <c r="G67" s="371" t="s">
        <v>280</v>
      </c>
      <c r="H67" s="372" t="s">
        <v>281</v>
      </c>
      <c r="I67" s="371" t="s">
        <v>282</v>
      </c>
      <c r="J67" s="371" t="s">
        <v>112</v>
      </c>
      <c r="K67" s="373" t="s">
        <v>113</v>
      </c>
      <c r="L67" s="370" t="s">
        <v>279</v>
      </c>
      <c r="M67" s="374" t="s">
        <v>92</v>
      </c>
      <c r="N67" s="374" t="s">
        <v>280</v>
      </c>
      <c r="O67" s="372" t="s">
        <v>281</v>
      </c>
      <c r="P67" s="374" t="s">
        <v>282</v>
      </c>
      <c r="Q67" s="374" t="s">
        <v>112</v>
      </c>
      <c r="R67" s="375" t="s">
        <v>113</v>
      </c>
      <c r="S67" s="376" t="s">
        <v>285</v>
      </c>
      <c r="T67" s="377" t="s">
        <v>288</v>
      </c>
    </row>
    <row r="68" spans="1:20" s="364" customFormat="1" x14ac:dyDescent="0.25">
      <c r="A68" s="380"/>
      <c r="B68" s="217"/>
      <c r="C68" s="111" t="s">
        <v>240</v>
      </c>
      <c r="D68" s="218" t="s">
        <v>15</v>
      </c>
      <c r="E68" s="378"/>
      <c r="F68" s="111"/>
      <c r="G68" s="111"/>
      <c r="H68" s="379"/>
      <c r="I68" s="111"/>
      <c r="J68" s="111"/>
      <c r="K68" s="216"/>
      <c r="L68" s="378"/>
      <c r="M68" s="111"/>
      <c r="N68" s="111"/>
      <c r="O68" s="379"/>
      <c r="P68" s="111"/>
      <c r="Q68" s="111"/>
      <c r="R68" s="216"/>
      <c r="S68" s="217">
        <f>SUM(E68:K68)</f>
        <v>0</v>
      </c>
      <c r="T68" s="216">
        <f>SUM(L68:R68)</f>
        <v>0</v>
      </c>
    </row>
    <row r="69" spans="1:20" s="364" customFormat="1" ht="30" x14ac:dyDescent="0.25">
      <c r="A69" s="380"/>
      <c r="B69" s="217"/>
      <c r="C69" s="150" t="s">
        <v>239</v>
      </c>
      <c r="D69" s="219" t="s">
        <v>238</v>
      </c>
      <c r="E69" s="378"/>
      <c r="F69" s="111"/>
      <c r="G69" s="111"/>
      <c r="H69" s="379"/>
      <c r="I69" s="111">
        <v>50</v>
      </c>
      <c r="J69" s="111"/>
      <c r="K69" s="216"/>
      <c r="L69" s="378"/>
      <c r="M69" s="111"/>
      <c r="N69" s="111"/>
      <c r="O69" s="379"/>
      <c r="P69" s="111"/>
      <c r="Q69" s="111"/>
      <c r="R69" s="216"/>
      <c r="S69" s="217">
        <f t="shared" ref="S69:S72" si="34">SUM(E69:K69)</f>
        <v>50</v>
      </c>
      <c r="T69" s="216">
        <f t="shared" ref="T69:T72" si="35">SUM(L69:R69)</f>
        <v>0</v>
      </c>
    </row>
    <row r="70" spans="1:20" s="364" customFormat="1" x14ac:dyDescent="0.25">
      <c r="A70" s="380"/>
      <c r="B70" s="217"/>
      <c r="C70" s="111" t="s">
        <v>241</v>
      </c>
      <c r="D70" s="218" t="s">
        <v>79</v>
      </c>
      <c r="E70" s="378"/>
      <c r="F70" s="111"/>
      <c r="G70" s="111"/>
      <c r="H70" s="379"/>
      <c r="I70" s="111"/>
      <c r="J70" s="111"/>
      <c r="K70" s="216"/>
      <c r="L70" s="378"/>
      <c r="M70" s="111"/>
      <c r="N70" s="111"/>
      <c r="O70" s="379"/>
      <c r="P70" s="111"/>
      <c r="Q70" s="111">
        <v>5</v>
      </c>
      <c r="R70" s="216"/>
      <c r="S70" s="217">
        <f t="shared" si="34"/>
        <v>0</v>
      </c>
      <c r="T70" s="216">
        <f t="shared" si="35"/>
        <v>5</v>
      </c>
    </row>
    <row r="71" spans="1:20" s="364" customFormat="1" x14ac:dyDescent="0.25">
      <c r="A71" s="380"/>
      <c r="B71" s="217"/>
      <c r="C71" s="111" t="s">
        <v>243</v>
      </c>
      <c r="D71" s="218" t="s">
        <v>244</v>
      </c>
      <c r="E71" s="378"/>
      <c r="F71" s="111"/>
      <c r="G71" s="111"/>
      <c r="H71" s="379"/>
      <c r="I71" s="111"/>
      <c r="J71" s="111"/>
      <c r="K71" s="216"/>
      <c r="L71" s="378"/>
      <c r="M71" s="111"/>
      <c r="N71" s="111"/>
      <c r="O71" s="379"/>
      <c r="P71" s="111"/>
      <c r="Q71" s="111"/>
      <c r="R71" s="216"/>
      <c r="S71" s="217">
        <f t="shared" si="34"/>
        <v>0</v>
      </c>
      <c r="T71" s="216">
        <f t="shared" si="35"/>
        <v>0</v>
      </c>
    </row>
    <row r="72" spans="1:20" s="364" customFormat="1" x14ac:dyDescent="0.25">
      <c r="A72" s="380"/>
      <c r="B72" s="217"/>
      <c r="C72" s="112" t="s">
        <v>242</v>
      </c>
      <c r="D72" s="218" t="s">
        <v>221</v>
      </c>
      <c r="E72" s="378"/>
      <c r="F72" s="111"/>
      <c r="G72" s="111"/>
      <c r="H72" s="379"/>
      <c r="I72" s="111"/>
      <c r="J72" s="111"/>
      <c r="K72" s="216"/>
      <c r="L72" s="378"/>
      <c r="M72" s="111"/>
      <c r="N72" s="111"/>
      <c r="O72" s="379"/>
      <c r="P72" s="111"/>
      <c r="Q72" s="111"/>
      <c r="R72" s="216"/>
      <c r="S72" s="217">
        <f t="shared" si="34"/>
        <v>0</v>
      </c>
      <c r="T72" s="216">
        <f t="shared" si="35"/>
        <v>0</v>
      </c>
    </row>
    <row r="73" spans="1:20" s="364" customFormat="1" x14ac:dyDescent="0.25">
      <c r="A73" s="380"/>
      <c r="B73" s="781" t="s">
        <v>88</v>
      </c>
      <c r="C73" s="781"/>
      <c r="D73" s="782"/>
      <c r="E73" s="217">
        <f>SUM(E68:E72)</f>
        <v>0</v>
      </c>
      <c r="F73" s="217">
        <f t="shared" ref="F73" si="36">SUM(F68:F72)</f>
        <v>0</v>
      </c>
      <c r="G73" s="217">
        <f t="shared" ref="G73" si="37">SUM(G68:G72)</f>
        <v>0</v>
      </c>
      <c r="H73" s="217">
        <f t="shared" ref="H73" si="38">SUM(H68:H72)</f>
        <v>0</v>
      </c>
      <c r="I73" s="217">
        <f t="shared" ref="I73" si="39">SUM(I68:I72)</f>
        <v>50</v>
      </c>
      <c r="J73" s="217">
        <f t="shared" ref="J73" si="40">SUM(J68:J72)</f>
        <v>0</v>
      </c>
      <c r="K73" s="217">
        <f t="shared" ref="K73" si="41">SUM(K68:K72)</f>
        <v>0</v>
      </c>
      <c r="L73" s="217">
        <f>SUM(L68:L72)</f>
        <v>0</v>
      </c>
      <c r="M73" s="217">
        <f t="shared" ref="M73" si="42">SUM(M68:M72)</f>
        <v>0</v>
      </c>
      <c r="N73" s="217">
        <f t="shared" ref="N73" si="43">SUM(N68:N72)</f>
        <v>0</v>
      </c>
      <c r="O73" s="217">
        <f t="shared" ref="O73" si="44">SUM(O68:O72)</f>
        <v>0</v>
      </c>
      <c r="P73" s="217">
        <f t="shared" ref="P73" si="45">SUM(P68:P72)</f>
        <v>0</v>
      </c>
      <c r="Q73" s="217">
        <f t="shared" ref="Q73" si="46">SUM(Q68:Q72)</f>
        <v>5</v>
      </c>
      <c r="R73" s="217">
        <f t="shared" ref="R73" si="47">SUM(R68:R72)</f>
        <v>0</v>
      </c>
      <c r="S73" s="217">
        <f>SUM(S68:S72)</f>
        <v>50</v>
      </c>
      <c r="T73" s="216">
        <f>SUM(T68:T72)</f>
        <v>5</v>
      </c>
    </row>
    <row r="74" spans="1:20" s="364" customFormat="1" x14ac:dyDescent="0.25"/>
    <row r="75" spans="1:20" s="364" customFormat="1" ht="15.75" x14ac:dyDescent="0.25">
      <c r="A75" s="380"/>
      <c r="B75" s="771" t="s">
        <v>293</v>
      </c>
      <c r="C75" s="771"/>
      <c r="D75" s="772"/>
      <c r="E75" s="773" t="s">
        <v>85</v>
      </c>
      <c r="F75" s="774"/>
      <c r="G75" s="774"/>
      <c r="H75" s="774"/>
      <c r="I75" s="774"/>
      <c r="J75" s="774"/>
      <c r="K75" s="775"/>
      <c r="L75" s="776" t="s">
        <v>284</v>
      </c>
      <c r="M75" s="777"/>
      <c r="N75" s="777"/>
      <c r="O75" s="777"/>
      <c r="P75" s="777"/>
      <c r="Q75" s="777"/>
      <c r="R75" s="778"/>
      <c r="S75" s="779" t="s">
        <v>7</v>
      </c>
      <c r="T75" s="780"/>
    </row>
    <row r="76" spans="1:20" s="364" customFormat="1" x14ac:dyDescent="0.25">
      <c r="A76" s="380"/>
      <c r="B76" s="367" t="s">
        <v>283</v>
      </c>
      <c r="C76" s="368" t="s">
        <v>91</v>
      </c>
      <c r="D76" s="369" t="s">
        <v>5</v>
      </c>
      <c r="E76" s="370" t="s">
        <v>279</v>
      </c>
      <c r="F76" s="371" t="s">
        <v>92</v>
      </c>
      <c r="G76" s="371" t="s">
        <v>280</v>
      </c>
      <c r="H76" s="372" t="s">
        <v>281</v>
      </c>
      <c r="I76" s="371" t="s">
        <v>282</v>
      </c>
      <c r="J76" s="371" t="s">
        <v>112</v>
      </c>
      <c r="K76" s="373" t="s">
        <v>113</v>
      </c>
      <c r="L76" s="370" t="s">
        <v>279</v>
      </c>
      <c r="M76" s="374" t="s">
        <v>92</v>
      </c>
      <c r="N76" s="374" t="s">
        <v>280</v>
      </c>
      <c r="O76" s="372" t="s">
        <v>281</v>
      </c>
      <c r="P76" s="374" t="s">
        <v>282</v>
      </c>
      <c r="Q76" s="374" t="s">
        <v>112</v>
      </c>
      <c r="R76" s="375" t="s">
        <v>113</v>
      </c>
      <c r="S76" s="376" t="s">
        <v>8</v>
      </c>
      <c r="T76" s="377" t="s">
        <v>287</v>
      </c>
    </row>
    <row r="77" spans="1:20" s="364" customFormat="1" x14ac:dyDescent="0.25">
      <c r="A77" s="380"/>
      <c r="B77" s="217"/>
      <c r="C77" s="111" t="s">
        <v>240</v>
      </c>
      <c r="D77" s="218" t="s">
        <v>15</v>
      </c>
      <c r="E77" s="378"/>
      <c r="F77" s="111"/>
      <c r="G77" s="111"/>
      <c r="H77" s="379"/>
      <c r="I77" s="111"/>
      <c r="J77" s="111"/>
      <c r="K77" s="216"/>
      <c r="L77" s="378"/>
      <c r="M77" s="111"/>
      <c r="N77" s="111"/>
      <c r="O77" s="379"/>
      <c r="P77" s="111"/>
      <c r="Q77" s="111"/>
      <c r="R77" s="216"/>
      <c r="S77" s="217">
        <f>SUM(E77:K77)</f>
        <v>0</v>
      </c>
      <c r="T77" s="216">
        <f>SUM(L77:R77)</f>
        <v>0</v>
      </c>
    </row>
    <row r="78" spans="1:20" s="364" customFormat="1" ht="30" x14ac:dyDescent="0.25">
      <c r="A78" s="380"/>
      <c r="B78" s="217"/>
      <c r="C78" s="150" t="s">
        <v>239</v>
      </c>
      <c r="D78" s="219" t="s">
        <v>238</v>
      </c>
      <c r="E78" s="378"/>
      <c r="F78" s="111">
        <v>20</v>
      </c>
      <c r="G78" s="111"/>
      <c r="H78" s="379"/>
      <c r="I78" s="111"/>
      <c r="J78" s="111"/>
      <c r="K78" s="216"/>
      <c r="L78" s="378"/>
      <c r="M78" s="111">
        <v>5</v>
      </c>
      <c r="N78" s="111"/>
      <c r="O78" s="379"/>
      <c r="P78" s="111"/>
      <c r="Q78" s="111"/>
      <c r="R78" s="216"/>
      <c r="S78" s="217">
        <f>SUM(E78:K78)</f>
        <v>20</v>
      </c>
      <c r="T78" s="216">
        <f>SUM(L78:R78)</f>
        <v>5</v>
      </c>
    </row>
    <row r="79" spans="1:20" s="364" customFormat="1" x14ac:dyDescent="0.25">
      <c r="A79" s="380"/>
      <c r="B79" s="217"/>
      <c r="C79" s="111" t="s">
        <v>241</v>
      </c>
      <c r="D79" s="218" t="s">
        <v>79</v>
      </c>
      <c r="E79" s="378"/>
      <c r="F79" s="111"/>
      <c r="G79" s="111"/>
      <c r="H79" s="379"/>
      <c r="I79" s="111"/>
      <c r="J79" s="111"/>
      <c r="K79" s="216"/>
      <c r="L79" s="378"/>
      <c r="M79" s="111"/>
      <c r="N79" s="111"/>
      <c r="O79" s="379"/>
      <c r="P79" s="111"/>
      <c r="Q79" s="111"/>
      <c r="R79" s="216"/>
      <c r="S79" s="217">
        <f>SUM(E79:K79)</f>
        <v>0</v>
      </c>
      <c r="T79" s="216">
        <f>SUM(L79:R79)</f>
        <v>0</v>
      </c>
    </row>
    <row r="80" spans="1:20" s="364" customFormat="1" x14ac:dyDescent="0.25">
      <c r="A80" s="380"/>
      <c r="B80" s="217"/>
      <c r="C80" s="111" t="s">
        <v>243</v>
      </c>
      <c r="D80" s="218" t="s">
        <v>244</v>
      </c>
      <c r="E80" s="378"/>
      <c r="F80" s="111"/>
      <c r="G80" s="111"/>
      <c r="H80" s="379"/>
      <c r="I80" s="111"/>
      <c r="J80" s="111"/>
      <c r="K80" s="216"/>
      <c r="L80" s="378"/>
      <c r="M80" s="111"/>
      <c r="N80" s="111"/>
      <c r="O80" s="379"/>
      <c r="P80" s="111"/>
      <c r="Q80" s="111"/>
      <c r="R80" s="216"/>
      <c r="S80" s="217">
        <f>SUM(E80:K80)</f>
        <v>0</v>
      </c>
      <c r="T80" s="216">
        <f>SUM(L80:R80)</f>
        <v>0</v>
      </c>
    </row>
    <row r="81" spans="1:20" s="364" customFormat="1" x14ac:dyDescent="0.25">
      <c r="A81" s="380"/>
      <c r="B81" s="217"/>
      <c r="C81" s="112" t="s">
        <v>242</v>
      </c>
      <c r="D81" s="218" t="s">
        <v>221</v>
      </c>
      <c r="E81" s="378"/>
      <c r="F81" s="111"/>
      <c r="G81" s="111"/>
      <c r="H81" s="379"/>
      <c r="I81" s="111"/>
      <c r="J81" s="111"/>
      <c r="K81" s="216"/>
      <c r="L81" s="378"/>
      <c r="M81" s="111"/>
      <c r="N81" s="111"/>
      <c r="O81" s="379"/>
      <c r="P81" s="111"/>
      <c r="Q81" s="111">
        <v>2</v>
      </c>
      <c r="R81" s="216"/>
      <c r="S81" s="217">
        <f>SUM(E81:K81)</f>
        <v>0</v>
      </c>
      <c r="T81" s="216">
        <f>SUM(L81:R81)</f>
        <v>2</v>
      </c>
    </row>
    <row r="82" spans="1:20" s="364" customFormat="1" x14ac:dyDescent="0.25">
      <c r="A82" s="380"/>
      <c r="B82" s="781" t="s">
        <v>89</v>
      </c>
      <c r="C82" s="781"/>
      <c r="D82" s="782"/>
      <c r="E82" s="217">
        <f>SUM(E77:E81)</f>
        <v>0</v>
      </c>
      <c r="F82" s="217">
        <f t="shared" ref="F82" si="48">SUM(F77:F81)</f>
        <v>20</v>
      </c>
      <c r="G82" s="217">
        <f t="shared" ref="G82" si="49">SUM(G77:G81)</f>
        <v>0</v>
      </c>
      <c r="H82" s="217">
        <f t="shared" ref="H82" si="50">SUM(H77:H81)</f>
        <v>0</v>
      </c>
      <c r="I82" s="217">
        <f t="shared" ref="I82" si="51">SUM(I77:I81)</f>
        <v>0</v>
      </c>
      <c r="J82" s="217">
        <f t="shared" ref="J82" si="52">SUM(J77:J81)</f>
        <v>0</v>
      </c>
      <c r="K82" s="217">
        <f t="shared" ref="K82" si="53">SUM(K77:K81)</f>
        <v>0</v>
      </c>
      <c r="L82" s="217">
        <f>SUM(L77:L81)</f>
        <v>0</v>
      </c>
      <c r="M82" s="217">
        <f t="shared" ref="M82" si="54">SUM(M77:M81)</f>
        <v>5</v>
      </c>
      <c r="N82" s="217">
        <f t="shared" ref="N82" si="55">SUM(N77:N81)</f>
        <v>0</v>
      </c>
      <c r="O82" s="217">
        <f t="shared" ref="O82" si="56">SUM(O77:O81)</f>
        <v>0</v>
      </c>
      <c r="P82" s="217">
        <f t="shared" ref="P82" si="57">SUM(P77:P81)</f>
        <v>0</v>
      </c>
      <c r="Q82" s="217">
        <f t="shared" ref="Q82" si="58">SUM(Q77:Q81)</f>
        <v>2</v>
      </c>
      <c r="R82" s="217">
        <f t="shared" ref="R82" si="59">SUM(R77:R81)</f>
        <v>0</v>
      </c>
      <c r="S82" s="217">
        <f>SUM(S77:S81)</f>
        <v>20</v>
      </c>
      <c r="T82" s="216">
        <f>SUM(T77:T81)</f>
        <v>7</v>
      </c>
    </row>
    <row r="83" spans="1:20" s="364" customFormat="1" ht="15.75" x14ac:dyDescent="0.25">
      <c r="A83" s="380"/>
      <c r="B83" s="771" t="s">
        <v>294</v>
      </c>
      <c r="C83" s="771"/>
      <c r="D83" s="772"/>
      <c r="E83" s="773" t="s">
        <v>285</v>
      </c>
      <c r="F83" s="774"/>
      <c r="G83" s="774"/>
      <c r="H83" s="774"/>
      <c r="I83" s="774"/>
      <c r="J83" s="774"/>
      <c r="K83" s="775"/>
      <c r="L83" s="776" t="s">
        <v>286</v>
      </c>
      <c r="M83" s="777"/>
      <c r="N83" s="777"/>
      <c r="O83" s="777"/>
      <c r="P83" s="777"/>
      <c r="Q83" s="777"/>
      <c r="R83" s="778"/>
      <c r="S83" s="779" t="s">
        <v>7</v>
      </c>
      <c r="T83" s="780"/>
    </row>
    <row r="84" spans="1:20" s="364" customFormat="1" x14ac:dyDescent="0.25">
      <c r="A84" s="380"/>
      <c r="B84" s="367" t="s">
        <v>283</v>
      </c>
      <c r="C84" s="368" t="s">
        <v>91</v>
      </c>
      <c r="D84" s="369" t="s">
        <v>5</v>
      </c>
      <c r="E84" s="370" t="s">
        <v>279</v>
      </c>
      <c r="F84" s="371" t="s">
        <v>92</v>
      </c>
      <c r="G84" s="371" t="s">
        <v>280</v>
      </c>
      <c r="H84" s="372" t="s">
        <v>281</v>
      </c>
      <c r="I84" s="371" t="s">
        <v>282</v>
      </c>
      <c r="J84" s="371" t="s">
        <v>112</v>
      </c>
      <c r="K84" s="373" t="s">
        <v>113</v>
      </c>
      <c r="L84" s="370" t="s">
        <v>279</v>
      </c>
      <c r="M84" s="374" t="s">
        <v>92</v>
      </c>
      <c r="N84" s="374" t="s">
        <v>280</v>
      </c>
      <c r="O84" s="372" t="s">
        <v>281</v>
      </c>
      <c r="P84" s="374" t="s">
        <v>282</v>
      </c>
      <c r="Q84" s="374" t="s">
        <v>112</v>
      </c>
      <c r="R84" s="375" t="s">
        <v>113</v>
      </c>
      <c r="S84" s="376" t="s">
        <v>285</v>
      </c>
      <c r="T84" s="377" t="s">
        <v>288</v>
      </c>
    </row>
    <row r="85" spans="1:20" s="364" customFormat="1" x14ac:dyDescent="0.25">
      <c r="A85" s="380"/>
      <c r="B85" s="217"/>
      <c r="C85" s="111" t="s">
        <v>240</v>
      </c>
      <c r="D85" s="218" t="s">
        <v>15</v>
      </c>
      <c r="E85" s="378"/>
      <c r="F85" s="111"/>
      <c r="G85" s="111"/>
      <c r="H85" s="379"/>
      <c r="I85" s="111"/>
      <c r="J85" s="111"/>
      <c r="K85" s="216"/>
      <c r="L85" s="378"/>
      <c r="M85" s="111"/>
      <c r="N85" s="111"/>
      <c r="O85" s="379"/>
      <c r="P85" s="111"/>
      <c r="Q85" s="111"/>
      <c r="R85" s="216"/>
      <c r="S85" s="217">
        <f>SUM(E85:K85)</f>
        <v>0</v>
      </c>
      <c r="T85" s="216">
        <f>SUM(L85:R85)</f>
        <v>0</v>
      </c>
    </row>
    <row r="86" spans="1:20" s="364" customFormat="1" ht="30" x14ac:dyDescent="0.25">
      <c r="A86" s="380"/>
      <c r="B86" s="217"/>
      <c r="C86" s="150" t="s">
        <v>239</v>
      </c>
      <c r="D86" s="219" t="s">
        <v>238</v>
      </c>
      <c r="E86" s="378"/>
      <c r="F86" s="111"/>
      <c r="G86" s="111"/>
      <c r="H86" s="379"/>
      <c r="I86" s="111"/>
      <c r="J86" s="111"/>
      <c r="K86" s="216"/>
      <c r="L86" s="378"/>
      <c r="M86" s="111"/>
      <c r="N86" s="111"/>
      <c r="O86" s="379"/>
      <c r="P86" s="111"/>
      <c r="Q86" s="111"/>
      <c r="R86" s="216"/>
      <c r="S86" s="217">
        <f t="shared" ref="S86:S89" si="60">SUM(E86:K86)</f>
        <v>0</v>
      </c>
      <c r="T86" s="216">
        <f t="shared" ref="T86:T89" si="61">SUM(L86:R86)</f>
        <v>0</v>
      </c>
    </row>
    <row r="87" spans="1:20" s="364" customFormat="1" x14ac:dyDescent="0.25">
      <c r="A87" s="380"/>
      <c r="B87" s="217"/>
      <c r="C87" s="111" t="s">
        <v>241</v>
      </c>
      <c r="D87" s="218" t="s">
        <v>79</v>
      </c>
      <c r="E87" s="378"/>
      <c r="F87" s="111"/>
      <c r="G87" s="111"/>
      <c r="H87" s="379"/>
      <c r="I87" s="111">
        <v>15</v>
      </c>
      <c r="J87" s="111"/>
      <c r="K87" s="216"/>
      <c r="L87" s="378"/>
      <c r="M87" s="111">
        <v>3</v>
      </c>
      <c r="N87" s="111"/>
      <c r="O87" s="379"/>
      <c r="P87" s="111"/>
      <c r="Q87" s="111"/>
      <c r="R87" s="216"/>
      <c r="S87" s="217">
        <f t="shared" si="60"/>
        <v>15</v>
      </c>
      <c r="T87" s="216">
        <f t="shared" si="61"/>
        <v>3</v>
      </c>
    </row>
    <row r="88" spans="1:20" s="364" customFormat="1" x14ac:dyDescent="0.25">
      <c r="A88" s="380"/>
      <c r="B88" s="217"/>
      <c r="C88" s="111" t="s">
        <v>243</v>
      </c>
      <c r="D88" s="218" t="s">
        <v>244</v>
      </c>
      <c r="E88" s="378"/>
      <c r="F88" s="111"/>
      <c r="G88" s="111"/>
      <c r="H88" s="379"/>
      <c r="I88" s="111"/>
      <c r="J88" s="111"/>
      <c r="K88" s="216"/>
      <c r="L88" s="378"/>
      <c r="M88" s="111"/>
      <c r="N88" s="111"/>
      <c r="O88" s="379"/>
      <c r="P88" s="111">
        <v>3</v>
      </c>
      <c r="Q88" s="111"/>
      <c r="R88" s="216"/>
      <c r="S88" s="217">
        <f t="shared" si="60"/>
        <v>0</v>
      </c>
      <c r="T88" s="216">
        <f t="shared" si="61"/>
        <v>3</v>
      </c>
    </row>
    <row r="89" spans="1:20" s="364" customFormat="1" x14ac:dyDescent="0.25">
      <c r="A89" s="380"/>
      <c r="B89" s="217"/>
      <c r="C89" s="112" t="s">
        <v>242</v>
      </c>
      <c r="D89" s="218" t="s">
        <v>221</v>
      </c>
      <c r="E89" s="378"/>
      <c r="F89" s="111"/>
      <c r="G89" s="111"/>
      <c r="H89" s="379"/>
      <c r="I89" s="111"/>
      <c r="J89" s="111"/>
      <c r="K89" s="216"/>
      <c r="L89" s="378"/>
      <c r="M89" s="111"/>
      <c r="N89" s="111"/>
      <c r="O89" s="379"/>
      <c r="P89" s="111"/>
      <c r="Q89" s="111"/>
      <c r="R89" s="216"/>
      <c r="S89" s="217">
        <f t="shared" si="60"/>
        <v>0</v>
      </c>
      <c r="T89" s="216">
        <f t="shared" si="61"/>
        <v>0</v>
      </c>
    </row>
    <row r="90" spans="1:20" s="364" customFormat="1" x14ac:dyDescent="0.25">
      <c r="A90" s="380"/>
      <c r="B90" s="781" t="s">
        <v>89</v>
      </c>
      <c r="C90" s="781"/>
      <c r="D90" s="782"/>
      <c r="E90" s="217">
        <f>SUM(E85:E89)</f>
        <v>0</v>
      </c>
      <c r="F90" s="217">
        <f t="shared" ref="F90" si="62">SUM(F85:F89)</f>
        <v>0</v>
      </c>
      <c r="G90" s="217">
        <f t="shared" ref="G90" si="63">SUM(G85:G89)</f>
        <v>0</v>
      </c>
      <c r="H90" s="217">
        <f t="shared" ref="H90" si="64">SUM(H85:H89)</f>
        <v>0</v>
      </c>
      <c r="I90" s="217">
        <f t="shared" ref="I90" si="65">SUM(I85:I89)</f>
        <v>15</v>
      </c>
      <c r="J90" s="217">
        <f t="shared" ref="J90" si="66">SUM(J85:J89)</f>
        <v>0</v>
      </c>
      <c r="K90" s="217">
        <f t="shared" ref="K90" si="67">SUM(K85:K89)</f>
        <v>0</v>
      </c>
      <c r="L90" s="217">
        <f>SUM(L85:L89)</f>
        <v>0</v>
      </c>
      <c r="M90" s="217">
        <f t="shared" ref="M90" si="68">SUM(M85:M89)</f>
        <v>3</v>
      </c>
      <c r="N90" s="217">
        <f t="shared" ref="N90" si="69">SUM(N85:N89)</f>
        <v>0</v>
      </c>
      <c r="O90" s="217">
        <f t="shared" ref="O90" si="70">SUM(O85:O89)</f>
        <v>0</v>
      </c>
      <c r="P90" s="217">
        <f t="shared" ref="P90" si="71">SUM(P85:P89)</f>
        <v>3</v>
      </c>
      <c r="Q90" s="217">
        <f t="shared" ref="Q90" si="72">SUM(Q85:Q89)</f>
        <v>0</v>
      </c>
      <c r="R90" s="217">
        <f t="shared" ref="R90" si="73">SUM(R85:R89)</f>
        <v>0</v>
      </c>
      <c r="S90" s="217">
        <f>SUM(S85:S89)</f>
        <v>15</v>
      </c>
      <c r="T90" s="216">
        <f>SUM(T85:T89)</f>
        <v>6</v>
      </c>
    </row>
    <row r="91" spans="1:20" s="364" customFormat="1" x14ac:dyDescent="0.25"/>
    <row r="92" spans="1:20" s="364" customFormat="1" ht="15.75" x14ac:dyDescent="0.25">
      <c r="A92" s="380"/>
      <c r="B92" s="771" t="s">
        <v>291</v>
      </c>
      <c r="C92" s="771"/>
      <c r="D92" s="772"/>
      <c r="E92" s="773" t="s">
        <v>85</v>
      </c>
      <c r="F92" s="774"/>
      <c r="G92" s="774"/>
      <c r="H92" s="774"/>
      <c r="I92" s="774"/>
      <c r="J92" s="774"/>
      <c r="K92" s="775"/>
      <c r="L92" s="776" t="s">
        <v>284</v>
      </c>
      <c r="M92" s="777"/>
      <c r="N92" s="777"/>
      <c r="O92" s="777"/>
      <c r="P92" s="777"/>
      <c r="Q92" s="777"/>
      <c r="R92" s="778"/>
      <c r="S92" s="779" t="s">
        <v>7</v>
      </c>
      <c r="T92" s="780"/>
    </row>
    <row r="93" spans="1:20" s="364" customFormat="1" x14ac:dyDescent="0.25">
      <c r="A93" s="380"/>
      <c r="B93" s="367" t="s">
        <v>283</v>
      </c>
      <c r="C93" s="368" t="s">
        <v>91</v>
      </c>
      <c r="D93" s="369" t="s">
        <v>5</v>
      </c>
      <c r="E93" s="370" t="s">
        <v>279</v>
      </c>
      <c r="F93" s="371" t="s">
        <v>92</v>
      </c>
      <c r="G93" s="371" t="s">
        <v>280</v>
      </c>
      <c r="H93" s="372" t="s">
        <v>281</v>
      </c>
      <c r="I93" s="371" t="s">
        <v>282</v>
      </c>
      <c r="J93" s="371" t="s">
        <v>112</v>
      </c>
      <c r="K93" s="373" t="s">
        <v>113</v>
      </c>
      <c r="L93" s="370" t="s">
        <v>279</v>
      </c>
      <c r="M93" s="374" t="s">
        <v>92</v>
      </c>
      <c r="N93" s="374" t="s">
        <v>280</v>
      </c>
      <c r="O93" s="372" t="s">
        <v>281</v>
      </c>
      <c r="P93" s="374" t="s">
        <v>282</v>
      </c>
      <c r="Q93" s="374" t="s">
        <v>112</v>
      </c>
      <c r="R93" s="375" t="s">
        <v>113</v>
      </c>
      <c r="S93" s="376" t="s">
        <v>8</v>
      </c>
      <c r="T93" s="377" t="s">
        <v>287</v>
      </c>
    </row>
    <row r="94" spans="1:20" s="364" customFormat="1" x14ac:dyDescent="0.25">
      <c r="A94" s="380"/>
      <c r="B94" s="217"/>
      <c r="C94" s="111" t="s">
        <v>240</v>
      </c>
      <c r="D94" s="218" t="s">
        <v>15</v>
      </c>
      <c r="E94" s="378"/>
      <c r="F94" s="111"/>
      <c r="G94" s="111"/>
      <c r="H94" s="379"/>
      <c r="I94" s="111"/>
      <c r="J94" s="111"/>
      <c r="K94" s="216"/>
      <c r="L94" s="378"/>
      <c r="M94" s="111"/>
      <c r="N94" s="111"/>
      <c r="O94" s="379"/>
      <c r="P94" s="111"/>
      <c r="Q94" s="111"/>
      <c r="R94" s="216"/>
      <c r="S94" s="217">
        <f>SUM(E94:K94)</f>
        <v>0</v>
      </c>
      <c r="T94" s="216">
        <f>SUM(L94:R94)</f>
        <v>0</v>
      </c>
    </row>
    <row r="95" spans="1:20" s="364" customFormat="1" ht="30" x14ac:dyDescent="0.25">
      <c r="A95" s="380"/>
      <c r="B95" s="217"/>
      <c r="C95" s="150" t="s">
        <v>239</v>
      </c>
      <c r="D95" s="219" t="s">
        <v>238</v>
      </c>
      <c r="E95" s="378"/>
      <c r="F95" s="111"/>
      <c r="G95" s="111"/>
      <c r="H95" s="379"/>
      <c r="I95" s="111"/>
      <c r="J95" s="111"/>
      <c r="K95" s="216"/>
      <c r="L95" s="378"/>
      <c r="M95" s="111"/>
      <c r="N95" s="111"/>
      <c r="O95" s="379"/>
      <c r="P95" s="111"/>
      <c r="Q95" s="111"/>
      <c r="R95" s="216"/>
      <c r="S95" s="217">
        <f>SUM(E95:K95)</f>
        <v>0</v>
      </c>
      <c r="T95" s="216">
        <f>SUM(L95:R95)</f>
        <v>0</v>
      </c>
    </row>
    <row r="96" spans="1:20" s="364" customFormat="1" x14ac:dyDescent="0.25">
      <c r="A96" s="380"/>
      <c r="B96" s="217"/>
      <c r="C96" s="111" t="s">
        <v>241</v>
      </c>
      <c r="D96" s="218" t="s">
        <v>79</v>
      </c>
      <c r="E96" s="378"/>
      <c r="F96" s="111"/>
      <c r="G96" s="111"/>
      <c r="H96" s="379"/>
      <c r="I96" s="111">
        <v>20</v>
      </c>
      <c r="J96" s="111"/>
      <c r="K96" s="216"/>
      <c r="L96" s="378"/>
      <c r="M96" s="111"/>
      <c r="N96" s="111"/>
      <c r="O96" s="379"/>
      <c r="P96" s="111"/>
      <c r="Q96" s="111"/>
      <c r="R96" s="216"/>
      <c r="S96" s="217">
        <f>SUM(E96:K96)</f>
        <v>20</v>
      </c>
      <c r="T96" s="216">
        <f>SUM(L96:R96)</f>
        <v>0</v>
      </c>
    </row>
    <row r="97" spans="1:20" s="364" customFormat="1" x14ac:dyDescent="0.25">
      <c r="A97" s="380"/>
      <c r="B97" s="217"/>
      <c r="C97" s="111" t="s">
        <v>243</v>
      </c>
      <c r="D97" s="218" t="s">
        <v>244</v>
      </c>
      <c r="E97" s="378"/>
      <c r="F97" s="111"/>
      <c r="G97" s="111"/>
      <c r="H97" s="379"/>
      <c r="I97" s="111"/>
      <c r="J97" s="111">
        <v>20</v>
      </c>
      <c r="K97" s="216"/>
      <c r="L97" s="378"/>
      <c r="M97" s="111"/>
      <c r="N97" s="111"/>
      <c r="O97" s="379"/>
      <c r="P97" s="111">
        <v>3</v>
      </c>
      <c r="Q97" s="111"/>
      <c r="R97" s="216"/>
      <c r="S97" s="217">
        <f>SUM(E97:K97)</f>
        <v>20</v>
      </c>
      <c r="T97" s="216">
        <f>SUM(L97:R97)</f>
        <v>3</v>
      </c>
    </row>
    <row r="98" spans="1:20" s="364" customFormat="1" x14ac:dyDescent="0.25">
      <c r="A98" s="380"/>
      <c r="B98" s="217"/>
      <c r="C98" s="112" t="s">
        <v>242</v>
      </c>
      <c r="D98" s="218" t="s">
        <v>221</v>
      </c>
      <c r="E98" s="378"/>
      <c r="F98" s="111"/>
      <c r="G98" s="111"/>
      <c r="H98" s="379"/>
      <c r="I98" s="111"/>
      <c r="J98" s="111"/>
      <c r="K98" s="216"/>
      <c r="L98" s="378"/>
      <c r="M98" s="111"/>
      <c r="N98" s="111"/>
      <c r="O98" s="379"/>
      <c r="P98" s="111"/>
      <c r="Q98" s="111"/>
      <c r="R98" s="216"/>
      <c r="S98" s="217">
        <f>SUM(E98:K98)</f>
        <v>0</v>
      </c>
      <c r="T98" s="216">
        <f>SUM(L98:R98)</f>
        <v>0</v>
      </c>
    </row>
    <row r="99" spans="1:20" s="364" customFormat="1" x14ac:dyDescent="0.25">
      <c r="A99" s="380"/>
      <c r="B99" s="781" t="s">
        <v>90</v>
      </c>
      <c r="C99" s="781"/>
      <c r="D99" s="782"/>
      <c r="E99" s="217">
        <f>SUM(E94:E98)</f>
        <v>0</v>
      </c>
      <c r="F99" s="217">
        <f t="shared" ref="F99" si="74">SUM(F94:F98)</f>
        <v>0</v>
      </c>
      <c r="G99" s="217">
        <f t="shared" ref="G99" si="75">SUM(G94:G98)</f>
        <v>0</v>
      </c>
      <c r="H99" s="217">
        <f t="shared" ref="H99" si="76">SUM(H94:H98)</f>
        <v>0</v>
      </c>
      <c r="I99" s="217">
        <f t="shared" ref="I99" si="77">SUM(I94:I98)</f>
        <v>20</v>
      </c>
      <c r="J99" s="217">
        <f t="shared" ref="J99" si="78">SUM(J94:J98)</f>
        <v>20</v>
      </c>
      <c r="K99" s="217">
        <f t="shared" ref="K99" si="79">SUM(K94:K98)</f>
        <v>0</v>
      </c>
      <c r="L99" s="217">
        <f>SUM(L94:L98)</f>
        <v>0</v>
      </c>
      <c r="M99" s="217">
        <f t="shared" ref="M99" si="80">SUM(M94:M98)</f>
        <v>0</v>
      </c>
      <c r="N99" s="217">
        <f t="shared" ref="N99" si="81">SUM(N94:N98)</f>
        <v>0</v>
      </c>
      <c r="O99" s="217">
        <f t="shared" ref="O99" si="82">SUM(O94:O98)</f>
        <v>0</v>
      </c>
      <c r="P99" s="217">
        <f t="shared" ref="P99" si="83">SUM(P94:P98)</f>
        <v>3</v>
      </c>
      <c r="Q99" s="217">
        <f t="shared" ref="Q99" si="84">SUM(Q94:Q98)</f>
        <v>0</v>
      </c>
      <c r="R99" s="217">
        <f t="shared" ref="R99" si="85">SUM(R94:R98)</f>
        <v>0</v>
      </c>
      <c r="S99" s="217">
        <f>SUM(S94:S98)</f>
        <v>40</v>
      </c>
      <c r="T99" s="216">
        <f>SUM(T94:T98)</f>
        <v>3</v>
      </c>
    </row>
    <row r="100" spans="1:20" s="364" customFormat="1" ht="15.75" x14ac:dyDescent="0.25">
      <c r="A100" s="380"/>
      <c r="B100" s="771" t="s">
        <v>292</v>
      </c>
      <c r="C100" s="771"/>
      <c r="D100" s="772"/>
      <c r="E100" s="773" t="s">
        <v>285</v>
      </c>
      <c r="F100" s="774"/>
      <c r="G100" s="774"/>
      <c r="H100" s="774"/>
      <c r="I100" s="774"/>
      <c r="J100" s="774"/>
      <c r="K100" s="775"/>
      <c r="L100" s="776" t="s">
        <v>286</v>
      </c>
      <c r="M100" s="777"/>
      <c r="N100" s="777"/>
      <c r="O100" s="777"/>
      <c r="P100" s="777"/>
      <c r="Q100" s="777"/>
      <c r="R100" s="778"/>
      <c r="S100" s="779" t="s">
        <v>7</v>
      </c>
      <c r="T100" s="780"/>
    </row>
    <row r="101" spans="1:20" s="364" customFormat="1" x14ac:dyDescent="0.25">
      <c r="A101" s="380"/>
      <c r="B101" s="367" t="s">
        <v>283</v>
      </c>
      <c r="C101" s="368" t="s">
        <v>91</v>
      </c>
      <c r="D101" s="369" t="s">
        <v>5</v>
      </c>
      <c r="E101" s="370" t="s">
        <v>279</v>
      </c>
      <c r="F101" s="371" t="s">
        <v>92</v>
      </c>
      <c r="G101" s="371" t="s">
        <v>280</v>
      </c>
      <c r="H101" s="372" t="s">
        <v>281</v>
      </c>
      <c r="I101" s="371" t="s">
        <v>282</v>
      </c>
      <c r="J101" s="371" t="s">
        <v>112</v>
      </c>
      <c r="K101" s="373" t="s">
        <v>113</v>
      </c>
      <c r="L101" s="370" t="s">
        <v>279</v>
      </c>
      <c r="M101" s="374" t="s">
        <v>92</v>
      </c>
      <c r="N101" s="374" t="s">
        <v>280</v>
      </c>
      <c r="O101" s="372" t="s">
        <v>281</v>
      </c>
      <c r="P101" s="374" t="s">
        <v>282</v>
      </c>
      <c r="Q101" s="374" t="s">
        <v>112</v>
      </c>
      <c r="R101" s="375" t="s">
        <v>113</v>
      </c>
      <c r="S101" s="376" t="s">
        <v>285</v>
      </c>
      <c r="T101" s="377" t="s">
        <v>288</v>
      </c>
    </row>
    <row r="102" spans="1:20" s="364" customFormat="1" x14ac:dyDescent="0.25">
      <c r="A102" s="380"/>
      <c r="B102" s="217"/>
      <c r="C102" s="111" t="s">
        <v>240</v>
      </c>
      <c r="D102" s="218" t="s">
        <v>15</v>
      </c>
      <c r="E102" s="378"/>
      <c r="F102" s="111"/>
      <c r="G102" s="111"/>
      <c r="H102" s="379"/>
      <c r="I102" s="111"/>
      <c r="J102" s="111"/>
      <c r="K102" s="216"/>
      <c r="L102" s="378"/>
      <c r="M102" s="111"/>
      <c r="N102" s="111"/>
      <c r="O102" s="379"/>
      <c r="P102" s="111"/>
      <c r="Q102" s="111"/>
      <c r="R102" s="216"/>
      <c r="S102" s="217">
        <f>SUM(E102:K102)</f>
        <v>0</v>
      </c>
      <c r="T102" s="216">
        <f>SUM(L102:R102)</f>
        <v>0</v>
      </c>
    </row>
    <row r="103" spans="1:20" s="364" customFormat="1" ht="30" x14ac:dyDescent="0.25">
      <c r="A103" s="380"/>
      <c r="B103" s="217"/>
      <c r="C103" s="150" t="s">
        <v>239</v>
      </c>
      <c r="D103" s="219" t="s">
        <v>238</v>
      </c>
      <c r="E103" s="378"/>
      <c r="F103" s="111"/>
      <c r="G103" s="111"/>
      <c r="H103" s="379"/>
      <c r="I103" s="111"/>
      <c r="J103" s="111"/>
      <c r="K103" s="216"/>
      <c r="L103" s="378"/>
      <c r="M103" s="111"/>
      <c r="N103" s="111"/>
      <c r="O103" s="379"/>
      <c r="P103" s="111"/>
      <c r="Q103" s="111"/>
      <c r="R103" s="216"/>
      <c r="S103" s="217">
        <f t="shared" ref="S103:S106" si="86">SUM(E103:K103)</f>
        <v>0</v>
      </c>
      <c r="T103" s="216">
        <f t="shared" ref="T103:T106" si="87">SUM(L103:R103)</f>
        <v>0</v>
      </c>
    </row>
    <row r="104" spans="1:20" s="364" customFormat="1" x14ac:dyDescent="0.25">
      <c r="A104" s="380"/>
      <c r="B104" s="217"/>
      <c r="C104" s="111" t="s">
        <v>241</v>
      </c>
      <c r="D104" s="218" t="s">
        <v>79</v>
      </c>
      <c r="E104" s="378"/>
      <c r="F104" s="111"/>
      <c r="G104" s="111"/>
      <c r="H104" s="379"/>
      <c r="I104" s="111"/>
      <c r="J104" s="111"/>
      <c r="K104" s="216"/>
      <c r="L104" s="378"/>
      <c r="M104" s="111"/>
      <c r="N104" s="111"/>
      <c r="O104" s="379"/>
      <c r="P104" s="111"/>
      <c r="Q104" s="111"/>
      <c r="R104" s="216"/>
      <c r="S104" s="217">
        <f t="shared" si="86"/>
        <v>0</v>
      </c>
      <c r="T104" s="216">
        <f t="shared" si="87"/>
        <v>0</v>
      </c>
    </row>
    <row r="105" spans="1:20" s="364" customFormat="1" x14ac:dyDescent="0.25">
      <c r="A105" s="380"/>
      <c r="B105" s="217"/>
      <c r="C105" s="111" t="s">
        <v>243</v>
      </c>
      <c r="D105" s="218" t="s">
        <v>244</v>
      </c>
      <c r="E105" s="378"/>
      <c r="F105" s="111"/>
      <c r="G105" s="111"/>
      <c r="H105" s="379"/>
      <c r="I105" s="111"/>
      <c r="J105" s="111">
        <v>20</v>
      </c>
      <c r="K105" s="216"/>
      <c r="L105" s="378"/>
      <c r="M105" s="111"/>
      <c r="N105" s="111"/>
      <c r="O105" s="379"/>
      <c r="P105" s="111"/>
      <c r="Q105" s="111"/>
      <c r="R105" s="216"/>
      <c r="S105" s="217">
        <f t="shared" si="86"/>
        <v>20</v>
      </c>
      <c r="T105" s="216">
        <f t="shared" si="87"/>
        <v>0</v>
      </c>
    </row>
    <row r="106" spans="1:20" s="364" customFormat="1" x14ac:dyDescent="0.25">
      <c r="A106" s="380"/>
      <c r="B106" s="217"/>
      <c r="C106" s="112" t="s">
        <v>242</v>
      </c>
      <c r="D106" s="218" t="s">
        <v>221</v>
      </c>
      <c r="E106" s="378"/>
      <c r="F106" s="111"/>
      <c r="G106" s="111"/>
      <c r="H106" s="379"/>
      <c r="I106" s="111"/>
      <c r="J106" s="111"/>
      <c r="K106" s="216"/>
      <c r="L106" s="378"/>
      <c r="M106" s="111"/>
      <c r="N106" s="111"/>
      <c r="O106" s="379"/>
      <c r="P106" s="111">
        <v>2</v>
      </c>
      <c r="Q106" s="111"/>
      <c r="R106" s="216"/>
      <c r="S106" s="217">
        <f t="shared" si="86"/>
        <v>0</v>
      </c>
      <c r="T106" s="216">
        <f t="shared" si="87"/>
        <v>2</v>
      </c>
    </row>
    <row r="107" spans="1:20" s="364" customFormat="1" x14ac:dyDescent="0.25">
      <c r="A107" s="380"/>
      <c r="B107" s="781" t="s">
        <v>90</v>
      </c>
      <c r="C107" s="781"/>
      <c r="D107" s="782"/>
      <c r="E107" s="217">
        <f>SUM(E102:E106)</f>
        <v>0</v>
      </c>
      <c r="F107" s="217">
        <f t="shared" ref="F107" si="88">SUM(F102:F106)</f>
        <v>0</v>
      </c>
      <c r="G107" s="217">
        <f t="shared" ref="G107" si="89">SUM(G102:G106)</f>
        <v>0</v>
      </c>
      <c r="H107" s="217">
        <f t="shared" ref="H107" si="90">SUM(H102:H106)</f>
        <v>0</v>
      </c>
      <c r="I107" s="217">
        <f t="shared" ref="I107" si="91">SUM(I102:I106)</f>
        <v>0</v>
      </c>
      <c r="J107" s="217">
        <f t="shared" ref="J107" si="92">SUM(J102:J106)</f>
        <v>20</v>
      </c>
      <c r="K107" s="217">
        <f t="shared" ref="K107" si="93">SUM(K102:K106)</f>
        <v>0</v>
      </c>
      <c r="L107" s="217">
        <f>SUM(L102:L106)</f>
        <v>0</v>
      </c>
      <c r="M107" s="217">
        <f t="shared" ref="M107" si="94">SUM(M102:M106)</f>
        <v>0</v>
      </c>
      <c r="N107" s="217">
        <f t="shared" ref="N107" si="95">SUM(N102:N106)</f>
        <v>0</v>
      </c>
      <c r="O107" s="217">
        <f t="shared" ref="O107" si="96">SUM(O102:O106)</f>
        <v>0</v>
      </c>
      <c r="P107" s="217">
        <f t="shared" ref="P107" si="97">SUM(P102:P106)</f>
        <v>2</v>
      </c>
      <c r="Q107" s="217">
        <f t="shared" ref="Q107" si="98">SUM(Q102:Q106)</f>
        <v>0</v>
      </c>
      <c r="R107" s="217">
        <f t="shared" ref="R107" si="99">SUM(R102:R106)</f>
        <v>0</v>
      </c>
      <c r="S107" s="217">
        <f>SUM(S102:S106)</f>
        <v>20</v>
      </c>
      <c r="T107" s="216">
        <f>SUM(T102:T106)</f>
        <v>2</v>
      </c>
    </row>
  </sheetData>
  <mergeCells count="66">
    <mergeCell ref="E41:K41"/>
    <mergeCell ref="L41:R41"/>
    <mergeCell ref="L6:M6"/>
    <mergeCell ref="L7:M7"/>
    <mergeCell ref="L11:M11"/>
    <mergeCell ref="L12:M12"/>
    <mergeCell ref="L16:M16"/>
    <mergeCell ref="L17:M17"/>
    <mergeCell ref="L21:M21"/>
    <mergeCell ref="L22:M22"/>
    <mergeCell ref="L26:M26"/>
    <mergeCell ref="L27:M27"/>
    <mergeCell ref="B1:C1"/>
    <mergeCell ref="B39:D39"/>
    <mergeCell ref="B3:C3"/>
    <mergeCell ref="B41:D41"/>
    <mergeCell ref="B6:B9"/>
    <mergeCell ref="B11:B14"/>
    <mergeCell ref="B16:B19"/>
    <mergeCell ref="B21:B24"/>
    <mergeCell ref="B26:B29"/>
    <mergeCell ref="B65:D65"/>
    <mergeCell ref="B48:D48"/>
    <mergeCell ref="B82:D82"/>
    <mergeCell ref="B49:D49"/>
    <mergeCell ref="E49:K49"/>
    <mergeCell ref="B66:D66"/>
    <mergeCell ref="E66:K66"/>
    <mergeCell ref="S41:T41"/>
    <mergeCell ref="O1:R1"/>
    <mergeCell ref="O10:T27"/>
    <mergeCell ref="P3:Q3"/>
    <mergeCell ref="P4:Q4"/>
    <mergeCell ref="P5:Q5"/>
    <mergeCell ref="P6:Q6"/>
    <mergeCell ref="P7:Q7"/>
    <mergeCell ref="P2:Q2"/>
    <mergeCell ref="L49:R49"/>
    <mergeCell ref="B56:D56"/>
    <mergeCell ref="S49:T49"/>
    <mergeCell ref="B58:D58"/>
    <mergeCell ref="E58:K58"/>
    <mergeCell ref="L58:R58"/>
    <mergeCell ref="S58:T58"/>
    <mergeCell ref="L66:R66"/>
    <mergeCell ref="S66:T66"/>
    <mergeCell ref="B73:D73"/>
    <mergeCell ref="E75:K75"/>
    <mergeCell ref="L75:R75"/>
    <mergeCell ref="S75:T75"/>
    <mergeCell ref="B75:D75"/>
    <mergeCell ref="B83:D83"/>
    <mergeCell ref="E83:K83"/>
    <mergeCell ref="L83:R83"/>
    <mergeCell ref="S83:T83"/>
    <mergeCell ref="B90:D90"/>
    <mergeCell ref="B92:D92"/>
    <mergeCell ref="E92:K92"/>
    <mergeCell ref="L92:R92"/>
    <mergeCell ref="S92:T92"/>
    <mergeCell ref="B99:D99"/>
    <mergeCell ref="B100:D100"/>
    <mergeCell ref="E100:K100"/>
    <mergeCell ref="L100:R100"/>
    <mergeCell ref="S100:T100"/>
    <mergeCell ref="B107:D107"/>
  </mergeCells>
  <phoneticPr fontId="18" type="noConversion"/>
  <dataValidations disablePrompts="1" count="1">
    <dataValidation type="list" allowBlank="1" showInputMessage="1" showErrorMessage="1" sqref="B43:B47 B51:B55 B60:B64 B68:B72 B77:B81 B85:B89 B94:B98 B102:B106" xr:uid="{64C6CEB3-BAE1-4A80-B03E-F487BB713C6A}">
      <formula1>"R1, R2, R3"</formula1>
    </dataValidation>
  </dataValidation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8CF85-7E39-4D8B-991A-C588A863081A}">
  <sheetPr>
    <tabColor theme="8"/>
    <pageSetUpPr fitToPage="1"/>
  </sheetPr>
  <dimension ref="A1:BF79"/>
  <sheetViews>
    <sheetView showGridLines="0" zoomScale="70" zoomScaleNormal="70" zoomScaleSheetLayoutView="100" workbookViewId="0">
      <pane xSplit="2" ySplit="2" topLeftCell="C3" activePane="bottomRight" state="frozen"/>
      <selection pane="topRight" activeCell="C17" sqref="C17"/>
      <selection pane="bottomLeft" activeCell="C17" sqref="C17"/>
      <selection pane="bottomRight" activeCell="H7" sqref="H7"/>
    </sheetView>
  </sheetViews>
  <sheetFormatPr defaultColWidth="8.85546875" defaultRowHeight="15" x14ac:dyDescent="0.25"/>
  <cols>
    <col min="1" max="1" width="5" style="76" bestFit="1" customWidth="1"/>
    <col min="2" max="2" width="51.5703125" style="76" customWidth="1"/>
    <col min="3" max="3" width="12.5703125" style="76" customWidth="1"/>
    <col min="4" max="4" width="17.7109375" style="76" bestFit="1" customWidth="1"/>
    <col min="5" max="5" width="32.140625" style="76" customWidth="1"/>
    <col min="6" max="6" width="20.85546875" style="76" bestFit="1" customWidth="1"/>
    <col min="7" max="7" width="11.7109375" style="76" customWidth="1"/>
    <col min="8" max="8" width="3.42578125" style="76" customWidth="1"/>
    <col min="9" max="14" width="2.7109375" style="76" customWidth="1"/>
    <col min="15" max="15" width="3.140625" style="76" customWidth="1"/>
    <col min="16" max="18" width="2.7109375" style="76" customWidth="1"/>
    <col min="19" max="19" width="4.5703125" style="76" customWidth="1"/>
    <col min="20" max="26" width="2.7109375" style="76" customWidth="1"/>
    <col min="27" max="27" width="4" style="76" customWidth="1"/>
    <col min="28" max="30" width="2.7109375" style="76" customWidth="1"/>
    <col min="31" max="31" width="3.28515625" style="76" bestFit="1" customWidth="1"/>
    <col min="32" max="34" width="2.7109375" style="76" customWidth="1"/>
    <col min="35" max="35" width="3.7109375" style="76" customWidth="1"/>
    <col min="36" max="37" width="2.7109375" style="76" customWidth="1"/>
    <col min="38" max="38" width="3.5703125" style="76" customWidth="1"/>
    <col min="39" max="39" width="2.5703125" style="76" customWidth="1"/>
    <col min="40" max="42" width="2.7109375" style="76" customWidth="1"/>
    <col min="43" max="43" width="4.5703125" style="76" customWidth="1"/>
    <col min="44" max="45" width="2.7109375" style="76" customWidth="1"/>
    <col min="46" max="46" width="3" style="76" customWidth="1"/>
    <col min="47" max="50" width="2.7109375" style="76" customWidth="1"/>
    <col min="51" max="51" width="4.5703125" style="76" bestFit="1" customWidth="1"/>
    <col min="52" max="54" width="2.7109375" style="76" customWidth="1"/>
    <col min="55" max="55" width="3.28515625" style="76" customWidth="1"/>
    <col min="56" max="56" width="70.5703125" style="76" customWidth="1"/>
    <col min="57" max="57" width="13.5703125" style="76" customWidth="1"/>
    <col min="58" max="246" width="8.85546875" style="76"/>
    <col min="247" max="247" width="2.85546875" style="76" customWidth="1"/>
    <col min="248" max="248" width="9.28515625" style="76" customWidth="1"/>
    <col min="249" max="249" width="9.42578125" style="76" customWidth="1"/>
    <col min="250" max="250" width="14.28515625" style="76" customWidth="1"/>
    <col min="251" max="251" width="9.140625" style="76" customWidth="1"/>
    <col min="252" max="252" width="7.42578125" style="76" customWidth="1"/>
    <col min="253" max="292" width="3.28515625" style="76" customWidth="1"/>
    <col min="293" max="293" width="10" style="76" customWidth="1"/>
    <col min="294" max="294" width="7.42578125" style="76" customWidth="1"/>
    <col min="295" max="295" width="30" style="76" customWidth="1"/>
    <col min="296" max="502" width="8.85546875" style="76"/>
    <col min="503" max="503" width="2.85546875" style="76" customWidth="1"/>
    <col min="504" max="504" width="9.28515625" style="76" customWidth="1"/>
    <col min="505" max="505" width="9.42578125" style="76" customWidth="1"/>
    <col min="506" max="506" width="14.28515625" style="76" customWidth="1"/>
    <col min="507" max="507" width="9.140625" style="76" customWidth="1"/>
    <col min="508" max="508" width="7.42578125" style="76" customWidth="1"/>
    <col min="509" max="548" width="3.28515625" style="76" customWidth="1"/>
    <col min="549" max="549" width="10" style="76" customWidth="1"/>
    <col min="550" max="550" width="7.42578125" style="76" customWidth="1"/>
    <col min="551" max="551" width="30" style="76" customWidth="1"/>
    <col min="552" max="758" width="8.85546875" style="76"/>
    <col min="759" max="759" width="2.85546875" style="76" customWidth="1"/>
    <col min="760" max="760" width="9.28515625" style="76" customWidth="1"/>
    <col min="761" max="761" width="9.42578125" style="76" customWidth="1"/>
    <col min="762" max="762" width="14.28515625" style="76" customWidth="1"/>
    <col min="763" max="763" width="9.140625" style="76" customWidth="1"/>
    <col min="764" max="764" width="7.42578125" style="76" customWidth="1"/>
    <col min="765" max="804" width="3.28515625" style="76" customWidth="1"/>
    <col min="805" max="805" width="10" style="76" customWidth="1"/>
    <col min="806" max="806" width="7.42578125" style="76" customWidth="1"/>
    <col min="807" max="807" width="30" style="76" customWidth="1"/>
    <col min="808" max="1014" width="8.85546875" style="76"/>
    <col min="1015" max="1015" width="2.85546875" style="76" customWidth="1"/>
    <col min="1016" max="1016" width="9.28515625" style="76" customWidth="1"/>
    <col min="1017" max="1017" width="9.42578125" style="76" customWidth="1"/>
    <col min="1018" max="1018" width="14.28515625" style="76" customWidth="1"/>
    <col min="1019" max="1019" width="9.140625" style="76" customWidth="1"/>
    <col min="1020" max="1020" width="7.42578125" style="76" customWidth="1"/>
    <col min="1021" max="1060" width="3.28515625" style="76" customWidth="1"/>
    <col min="1061" max="1061" width="10" style="76" customWidth="1"/>
    <col min="1062" max="1062" width="7.42578125" style="76" customWidth="1"/>
    <col min="1063" max="1063" width="30" style="76" customWidth="1"/>
    <col min="1064" max="1270" width="8.85546875" style="76"/>
    <col min="1271" max="1271" width="2.85546875" style="76" customWidth="1"/>
    <col min="1272" max="1272" width="9.28515625" style="76" customWidth="1"/>
    <col min="1273" max="1273" width="9.42578125" style="76" customWidth="1"/>
    <col min="1274" max="1274" width="14.28515625" style="76" customWidth="1"/>
    <col min="1275" max="1275" width="9.140625" style="76" customWidth="1"/>
    <col min="1276" max="1276" width="7.42578125" style="76" customWidth="1"/>
    <col min="1277" max="1316" width="3.28515625" style="76" customWidth="1"/>
    <col min="1317" max="1317" width="10" style="76" customWidth="1"/>
    <col min="1318" max="1318" width="7.42578125" style="76" customWidth="1"/>
    <col min="1319" max="1319" width="30" style="76" customWidth="1"/>
    <col min="1320" max="1526" width="8.85546875" style="76"/>
    <col min="1527" max="1527" width="2.85546875" style="76" customWidth="1"/>
    <col min="1528" max="1528" width="9.28515625" style="76" customWidth="1"/>
    <col min="1529" max="1529" width="9.42578125" style="76" customWidth="1"/>
    <col min="1530" max="1530" width="14.28515625" style="76" customWidth="1"/>
    <col min="1531" max="1531" width="9.140625" style="76" customWidth="1"/>
    <col min="1532" max="1532" width="7.42578125" style="76" customWidth="1"/>
    <col min="1533" max="1572" width="3.28515625" style="76" customWidth="1"/>
    <col min="1573" max="1573" width="10" style="76" customWidth="1"/>
    <col min="1574" max="1574" width="7.42578125" style="76" customWidth="1"/>
    <col min="1575" max="1575" width="30" style="76" customWidth="1"/>
    <col min="1576" max="1782" width="8.85546875" style="76"/>
    <col min="1783" max="1783" width="2.85546875" style="76" customWidth="1"/>
    <col min="1784" max="1784" width="9.28515625" style="76" customWidth="1"/>
    <col min="1785" max="1785" width="9.42578125" style="76" customWidth="1"/>
    <col min="1786" max="1786" width="14.28515625" style="76" customWidth="1"/>
    <col min="1787" max="1787" width="9.140625" style="76" customWidth="1"/>
    <col min="1788" max="1788" width="7.42578125" style="76" customWidth="1"/>
    <col min="1789" max="1828" width="3.28515625" style="76" customWidth="1"/>
    <col min="1829" max="1829" width="10" style="76" customWidth="1"/>
    <col min="1830" max="1830" width="7.42578125" style="76" customWidth="1"/>
    <col min="1831" max="1831" width="30" style="76" customWidth="1"/>
    <col min="1832" max="2038" width="8.85546875" style="76"/>
    <col min="2039" max="2039" width="2.85546875" style="76" customWidth="1"/>
    <col min="2040" max="2040" width="9.28515625" style="76" customWidth="1"/>
    <col min="2041" max="2041" width="9.42578125" style="76" customWidth="1"/>
    <col min="2042" max="2042" width="14.28515625" style="76" customWidth="1"/>
    <col min="2043" max="2043" width="9.140625" style="76" customWidth="1"/>
    <col min="2044" max="2044" width="7.42578125" style="76" customWidth="1"/>
    <col min="2045" max="2084" width="3.28515625" style="76" customWidth="1"/>
    <col min="2085" max="2085" width="10" style="76" customWidth="1"/>
    <col min="2086" max="2086" width="7.42578125" style="76" customWidth="1"/>
    <col min="2087" max="2087" width="30" style="76" customWidth="1"/>
    <col min="2088" max="2294" width="8.85546875" style="76"/>
    <col min="2295" max="2295" width="2.85546875" style="76" customWidth="1"/>
    <col min="2296" max="2296" width="9.28515625" style="76" customWidth="1"/>
    <col min="2297" max="2297" width="9.42578125" style="76" customWidth="1"/>
    <col min="2298" max="2298" width="14.28515625" style="76" customWidth="1"/>
    <col min="2299" max="2299" width="9.140625" style="76" customWidth="1"/>
    <col min="2300" max="2300" width="7.42578125" style="76" customWidth="1"/>
    <col min="2301" max="2340" width="3.28515625" style="76" customWidth="1"/>
    <col min="2341" max="2341" width="10" style="76" customWidth="1"/>
    <col min="2342" max="2342" width="7.42578125" style="76" customWidth="1"/>
    <col min="2343" max="2343" width="30" style="76" customWidth="1"/>
    <col min="2344" max="2550" width="8.85546875" style="76"/>
    <col min="2551" max="2551" width="2.85546875" style="76" customWidth="1"/>
    <col min="2552" max="2552" width="9.28515625" style="76" customWidth="1"/>
    <col min="2553" max="2553" width="9.42578125" style="76" customWidth="1"/>
    <col min="2554" max="2554" width="14.28515625" style="76" customWidth="1"/>
    <col min="2555" max="2555" width="9.140625" style="76" customWidth="1"/>
    <col min="2556" max="2556" width="7.42578125" style="76" customWidth="1"/>
    <col min="2557" max="2596" width="3.28515625" style="76" customWidth="1"/>
    <col min="2597" max="2597" width="10" style="76" customWidth="1"/>
    <col min="2598" max="2598" width="7.42578125" style="76" customWidth="1"/>
    <col min="2599" max="2599" width="30" style="76" customWidth="1"/>
    <col min="2600" max="2806" width="8.85546875" style="76"/>
    <col min="2807" max="2807" width="2.85546875" style="76" customWidth="1"/>
    <col min="2808" max="2808" width="9.28515625" style="76" customWidth="1"/>
    <col min="2809" max="2809" width="9.42578125" style="76" customWidth="1"/>
    <col min="2810" max="2810" width="14.28515625" style="76" customWidth="1"/>
    <col min="2811" max="2811" width="9.140625" style="76" customWidth="1"/>
    <col min="2812" max="2812" width="7.42578125" style="76" customWidth="1"/>
    <col min="2813" max="2852" width="3.28515625" style="76" customWidth="1"/>
    <col min="2853" max="2853" width="10" style="76" customWidth="1"/>
    <col min="2854" max="2854" width="7.42578125" style="76" customWidth="1"/>
    <col min="2855" max="2855" width="30" style="76" customWidth="1"/>
    <col min="2856" max="3062" width="8.85546875" style="76"/>
    <col min="3063" max="3063" width="2.85546875" style="76" customWidth="1"/>
    <col min="3064" max="3064" width="9.28515625" style="76" customWidth="1"/>
    <col min="3065" max="3065" width="9.42578125" style="76" customWidth="1"/>
    <col min="3066" max="3066" width="14.28515625" style="76" customWidth="1"/>
    <col min="3067" max="3067" width="9.140625" style="76" customWidth="1"/>
    <col min="3068" max="3068" width="7.42578125" style="76" customWidth="1"/>
    <col min="3069" max="3108" width="3.28515625" style="76" customWidth="1"/>
    <col min="3109" max="3109" width="10" style="76" customWidth="1"/>
    <col min="3110" max="3110" width="7.42578125" style="76" customWidth="1"/>
    <col min="3111" max="3111" width="30" style="76" customWidth="1"/>
    <col min="3112" max="3318" width="8.85546875" style="76"/>
    <col min="3319" max="3319" width="2.85546875" style="76" customWidth="1"/>
    <col min="3320" max="3320" width="9.28515625" style="76" customWidth="1"/>
    <col min="3321" max="3321" width="9.42578125" style="76" customWidth="1"/>
    <col min="3322" max="3322" width="14.28515625" style="76" customWidth="1"/>
    <col min="3323" max="3323" width="9.140625" style="76" customWidth="1"/>
    <col min="3324" max="3324" width="7.42578125" style="76" customWidth="1"/>
    <col min="3325" max="3364" width="3.28515625" style="76" customWidth="1"/>
    <col min="3365" max="3365" width="10" style="76" customWidth="1"/>
    <col min="3366" max="3366" width="7.42578125" style="76" customWidth="1"/>
    <col min="3367" max="3367" width="30" style="76" customWidth="1"/>
    <col min="3368" max="3574" width="8.85546875" style="76"/>
    <col min="3575" max="3575" width="2.85546875" style="76" customWidth="1"/>
    <col min="3576" max="3576" width="9.28515625" style="76" customWidth="1"/>
    <col min="3577" max="3577" width="9.42578125" style="76" customWidth="1"/>
    <col min="3578" max="3578" width="14.28515625" style="76" customWidth="1"/>
    <col min="3579" max="3579" width="9.140625" style="76" customWidth="1"/>
    <col min="3580" max="3580" width="7.42578125" style="76" customWidth="1"/>
    <col min="3581" max="3620" width="3.28515625" style="76" customWidth="1"/>
    <col min="3621" max="3621" width="10" style="76" customWidth="1"/>
    <col min="3622" max="3622" width="7.42578125" style="76" customWidth="1"/>
    <col min="3623" max="3623" width="30" style="76" customWidth="1"/>
    <col min="3624" max="3830" width="8.85546875" style="76"/>
    <col min="3831" max="3831" width="2.85546875" style="76" customWidth="1"/>
    <col min="3832" max="3832" width="9.28515625" style="76" customWidth="1"/>
    <col min="3833" max="3833" width="9.42578125" style="76" customWidth="1"/>
    <col min="3834" max="3834" width="14.28515625" style="76" customWidth="1"/>
    <col min="3835" max="3835" width="9.140625" style="76" customWidth="1"/>
    <col min="3836" max="3836" width="7.42578125" style="76" customWidth="1"/>
    <col min="3837" max="3876" width="3.28515625" style="76" customWidth="1"/>
    <col min="3877" max="3877" width="10" style="76" customWidth="1"/>
    <col min="3878" max="3878" width="7.42578125" style="76" customWidth="1"/>
    <col min="3879" max="3879" width="30" style="76" customWidth="1"/>
    <col min="3880" max="4086" width="8.85546875" style="76"/>
    <col min="4087" max="4087" width="2.85546875" style="76" customWidth="1"/>
    <col min="4088" max="4088" width="9.28515625" style="76" customWidth="1"/>
    <col min="4089" max="4089" width="9.42578125" style="76" customWidth="1"/>
    <col min="4090" max="4090" width="14.28515625" style="76" customWidth="1"/>
    <col min="4091" max="4091" width="9.140625" style="76" customWidth="1"/>
    <col min="4092" max="4092" width="7.42578125" style="76" customWidth="1"/>
    <col min="4093" max="4132" width="3.28515625" style="76" customWidth="1"/>
    <col min="4133" max="4133" width="10" style="76" customWidth="1"/>
    <col min="4134" max="4134" width="7.42578125" style="76" customWidth="1"/>
    <col min="4135" max="4135" width="30" style="76" customWidth="1"/>
    <col min="4136" max="4342" width="8.85546875" style="76"/>
    <col min="4343" max="4343" width="2.85546875" style="76" customWidth="1"/>
    <col min="4344" max="4344" width="9.28515625" style="76" customWidth="1"/>
    <col min="4345" max="4345" width="9.42578125" style="76" customWidth="1"/>
    <col min="4346" max="4346" width="14.28515625" style="76" customWidth="1"/>
    <col min="4347" max="4347" width="9.140625" style="76" customWidth="1"/>
    <col min="4348" max="4348" width="7.42578125" style="76" customWidth="1"/>
    <col min="4349" max="4388" width="3.28515625" style="76" customWidth="1"/>
    <col min="4389" max="4389" width="10" style="76" customWidth="1"/>
    <col min="4390" max="4390" width="7.42578125" style="76" customWidth="1"/>
    <col min="4391" max="4391" width="30" style="76" customWidth="1"/>
    <col min="4392" max="4598" width="8.85546875" style="76"/>
    <col min="4599" max="4599" width="2.85546875" style="76" customWidth="1"/>
    <col min="4600" max="4600" width="9.28515625" style="76" customWidth="1"/>
    <col min="4601" max="4601" width="9.42578125" style="76" customWidth="1"/>
    <col min="4602" max="4602" width="14.28515625" style="76" customWidth="1"/>
    <col min="4603" max="4603" width="9.140625" style="76" customWidth="1"/>
    <col min="4604" max="4604" width="7.42578125" style="76" customWidth="1"/>
    <col min="4605" max="4644" width="3.28515625" style="76" customWidth="1"/>
    <col min="4645" max="4645" width="10" style="76" customWidth="1"/>
    <col min="4646" max="4646" width="7.42578125" style="76" customWidth="1"/>
    <col min="4647" max="4647" width="30" style="76" customWidth="1"/>
    <col min="4648" max="4854" width="8.85546875" style="76"/>
    <col min="4855" max="4855" width="2.85546875" style="76" customWidth="1"/>
    <col min="4856" max="4856" width="9.28515625" style="76" customWidth="1"/>
    <col min="4857" max="4857" width="9.42578125" style="76" customWidth="1"/>
    <col min="4858" max="4858" width="14.28515625" style="76" customWidth="1"/>
    <col min="4859" max="4859" width="9.140625" style="76" customWidth="1"/>
    <col min="4860" max="4860" width="7.42578125" style="76" customWidth="1"/>
    <col min="4861" max="4900" width="3.28515625" style="76" customWidth="1"/>
    <col min="4901" max="4901" width="10" style="76" customWidth="1"/>
    <col min="4902" max="4902" width="7.42578125" style="76" customWidth="1"/>
    <col min="4903" max="4903" width="30" style="76" customWidth="1"/>
    <col min="4904" max="5110" width="8.85546875" style="76"/>
    <col min="5111" max="5111" width="2.85546875" style="76" customWidth="1"/>
    <col min="5112" max="5112" width="9.28515625" style="76" customWidth="1"/>
    <col min="5113" max="5113" width="9.42578125" style="76" customWidth="1"/>
    <col min="5114" max="5114" width="14.28515625" style="76" customWidth="1"/>
    <col min="5115" max="5115" width="9.140625" style="76" customWidth="1"/>
    <col min="5116" max="5116" width="7.42578125" style="76" customWidth="1"/>
    <col min="5117" max="5156" width="3.28515625" style="76" customWidth="1"/>
    <col min="5157" max="5157" width="10" style="76" customWidth="1"/>
    <col min="5158" max="5158" width="7.42578125" style="76" customWidth="1"/>
    <col min="5159" max="5159" width="30" style="76" customWidth="1"/>
    <col min="5160" max="5366" width="8.85546875" style="76"/>
    <col min="5367" max="5367" width="2.85546875" style="76" customWidth="1"/>
    <col min="5368" max="5368" width="9.28515625" style="76" customWidth="1"/>
    <col min="5369" max="5369" width="9.42578125" style="76" customWidth="1"/>
    <col min="5370" max="5370" width="14.28515625" style="76" customWidth="1"/>
    <col min="5371" max="5371" width="9.140625" style="76" customWidth="1"/>
    <col min="5372" max="5372" width="7.42578125" style="76" customWidth="1"/>
    <col min="5373" max="5412" width="3.28515625" style="76" customWidth="1"/>
    <col min="5413" max="5413" width="10" style="76" customWidth="1"/>
    <col min="5414" max="5414" width="7.42578125" style="76" customWidth="1"/>
    <col min="5415" max="5415" width="30" style="76" customWidth="1"/>
    <col min="5416" max="5622" width="8.85546875" style="76"/>
    <col min="5623" max="5623" width="2.85546875" style="76" customWidth="1"/>
    <col min="5624" max="5624" width="9.28515625" style="76" customWidth="1"/>
    <col min="5625" max="5625" width="9.42578125" style="76" customWidth="1"/>
    <col min="5626" max="5626" width="14.28515625" style="76" customWidth="1"/>
    <col min="5627" max="5627" width="9.140625" style="76" customWidth="1"/>
    <col min="5628" max="5628" width="7.42578125" style="76" customWidth="1"/>
    <col min="5629" max="5668" width="3.28515625" style="76" customWidth="1"/>
    <col min="5669" max="5669" width="10" style="76" customWidth="1"/>
    <col min="5670" max="5670" width="7.42578125" style="76" customWidth="1"/>
    <col min="5671" max="5671" width="30" style="76" customWidth="1"/>
    <col min="5672" max="5878" width="8.85546875" style="76"/>
    <col min="5879" max="5879" width="2.85546875" style="76" customWidth="1"/>
    <col min="5880" max="5880" width="9.28515625" style="76" customWidth="1"/>
    <col min="5881" max="5881" width="9.42578125" style="76" customWidth="1"/>
    <col min="5882" max="5882" width="14.28515625" style="76" customWidth="1"/>
    <col min="5883" max="5883" width="9.140625" style="76" customWidth="1"/>
    <col min="5884" max="5884" width="7.42578125" style="76" customWidth="1"/>
    <col min="5885" max="5924" width="3.28515625" style="76" customWidth="1"/>
    <col min="5925" max="5925" width="10" style="76" customWidth="1"/>
    <col min="5926" max="5926" width="7.42578125" style="76" customWidth="1"/>
    <col min="5927" max="5927" width="30" style="76" customWidth="1"/>
    <col min="5928" max="6134" width="8.85546875" style="76"/>
    <col min="6135" max="6135" width="2.85546875" style="76" customWidth="1"/>
    <col min="6136" max="6136" width="9.28515625" style="76" customWidth="1"/>
    <col min="6137" max="6137" width="9.42578125" style="76" customWidth="1"/>
    <col min="6138" max="6138" width="14.28515625" style="76" customWidth="1"/>
    <col min="6139" max="6139" width="9.140625" style="76" customWidth="1"/>
    <col min="6140" max="6140" width="7.42578125" style="76" customWidth="1"/>
    <col min="6141" max="6180" width="3.28515625" style="76" customWidth="1"/>
    <col min="6181" max="6181" width="10" style="76" customWidth="1"/>
    <col min="6182" max="6182" width="7.42578125" style="76" customWidth="1"/>
    <col min="6183" max="6183" width="30" style="76" customWidth="1"/>
    <col min="6184" max="6390" width="8.85546875" style="76"/>
    <col min="6391" max="6391" width="2.85546875" style="76" customWidth="1"/>
    <col min="6392" max="6392" width="9.28515625" style="76" customWidth="1"/>
    <col min="6393" max="6393" width="9.42578125" style="76" customWidth="1"/>
    <col min="6394" max="6394" width="14.28515625" style="76" customWidth="1"/>
    <col min="6395" max="6395" width="9.140625" style="76" customWidth="1"/>
    <col min="6396" max="6396" width="7.42578125" style="76" customWidth="1"/>
    <col min="6397" max="6436" width="3.28515625" style="76" customWidth="1"/>
    <col min="6437" max="6437" width="10" style="76" customWidth="1"/>
    <col min="6438" max="6438" width="7.42578125" style="76" customWidth="1"/>
    <col min="6439" max="6439" width="30" style="76" customWidth="1"/>
    <col min="6440" max="6646" width="8.85546875" style="76"/>
    <col min="6647" max="6647" width="2.85546875" style="76" customWidth="1"/>
    <col min="6648" max="6648" width="9.28515625" style="76" customWidth="1"/>
    <col min="6649" max="6649" width="9.42578125" style="76" customWidth="1"/>
    <col min="6650" max="6650" width="14.28515625" style="76" customWidth="1"/>
    <col min="6651" max="6651" width="9.140625" style="76" customWidth="1"/>
    <col min="6652" max="6652" width="7.42578125" style="76" customWidth="1"/>
    <col min="6653" max="6692" width="3.28515625" style="76" customWidth="1"/>
    <col min="6693" max="6693" width="10" style="76" customWidth="1"/>
    <col min="6694" max="6694" width="7.42578125" style="76" customWidth="1"/>
    <col min="6695" max="6695" width="30" style="76" customWidth="1"/>
    <col min="6696" max="6902" width="8.85546875" style="76"/>
    <col min="6903" max="6903" width="2.85546875" style="76" customWidth="1"/>
    <col min="6904" max="6904" width="9.28515625" style="76" customWidth="1"/>
    <col min="6905" max="6905" width="9.42578125" style="76" customWidth="1"/>
    <col min="6906" max="6906" width="14.28515625" style="76" customWidth="1"/>
    <col min="6907" max="6907" width="9.140625" style="76" customWidth="1"/>
    <col min="6908" max="6908" width="7.42578125" style="76" customWidth="1"/>
    <col min="6909" max="6948" width="3.28515625" style="76" customWidth="1"/>
    <col min="6949" max="6949" width="10" style="76" customWidth="1"/>
    <col min="6950" max="6950" width="7.42578125" style="76" customWidth="1"/>
    <col min="6951" max="6951" width="30" style="76" customWidth="1"/>
    <col min="6952" max="7158" width="8.85546875" style="76"/>
    <col min="7159" max="7159" width="2.85546875" style="76" customWidth="1"/>
    <col min="7160" max="7160" width="9.28515625" style="76" customWidth="1"/>
    <col min="7161" max="7161" width="9.42578125" style="76" customWidth="1"/>
    <col min="7162" max="7162" width="14.28515625" style="76" customWidth="1"/>
    <col min="7163" max="7163" width="9.140625" style="76" customWidth="1"/>
    <col min="7164" max="7164" width="7.42578125" style="76" customWidth="1"/>
    <col min="7165" max="7204" width="3.28515625" style="76" customWidth="1"/>
    <col min="7205" max="7205" width="10" style="76" customWidth="1"/>
    <col min="7206" max="7206" width="7.42578125" style="76" customWidth="1"/>
    <col min="7207" max="7207" width="30" style="76" customWidth="1"/>
    <col min="7208" max="7414" width="8.85546875" style="76"/>
    <col min="7415" max="7415" width="2.85546875" style="76" customWidth="1"/>
    <col min="7416" max="7416" width="9.28515625" style="76" customWidth="1"/>
    <col min="7417" max="7417" width="9.42578125" style="76" customWidth="1"/>
    <col min="7418" max="7418" width="14.28515625" style="76" customWidth="1"/>
    <col min="7419" max="7419" width="9.140625" style="76" customWidth="1"/>
    <col min="7420" max="7420" width="7.42578125" style="76" customWidth="1"/>
    <col min="7421" max="7460" width="3.28515625" style="76" customWidth="1"/>
    <col min="7461" max="7461" width="10" style="76" customWidth="1"/>
    <col min="7462" max="7462" width="7.42578125" style="76" customWidth="1"/>
    <col min="7463" max="7463" width="30" style="76" customWidth="1"/>
    <col min="7464" max="7670" width="8.85546875" style="76"/>
    <col min="7671" max="7671" width="2.85546875" style="76" customWidth="1"/>
    <col min="7672" max="7672" width="9.28515625" style="76" customWidth="1"/>
    <col min="7673" max="7673" width="9.42578125" style="76" customWidth="1"/>
    <col min="7674" max="7674" width="14.28515625" style="76" customWidth="1"/>
    <col min="7675" max="7675" width="9.140625" style="76" customWidth="1"/>
    <col min="7676" max="7676" width="7.42578125" style="76" customWidth="1"/>
    <col min="7677" max="7716" width="3.28515625" style="76" customWidth="1"/>
    <col min="7717" max="7717" width="10" style="76" customWidth="1"/>
    <col min="7718" max="7718" width="7.42578125" style="76" customWidth="1"/>
    <col min="7719" max="7719" width="30" style="76" customWidth="1"/>
    <col min="7720" max="7926" width="8.85546875" style="76"/>
    <col min="7927" max="7927" width="2.85546875" style="76" customWidth="1"/>
    <col min="7928" max="7928" width="9.28515625" style="76" customWidth="1"/>
    <col min="7929" max="7929" width="9.42578125" style="76" customWidth="1"/>
    <col min="7930" max="7930" width="14.28515625" style="76" customWidth="1"/>
    <col min="7931" max="7931" width="9.140625" style="76" customWidth="1"/>
    <col min="7932" max="7932" width="7.42578125" style="76" customWidth="1"/>
    <col min="7933" max="7972" width="3.28515625" style="76" customWidth="1"/>
    <col min="7973" max="7973" width="10" style="76" customWidth="1"/>
    <col min="7974" max="7974" width="7.42578125" style="76" customWidth="1"/>
    <col min="7975" max="7975" width="30" style="76" customWidth="1"/>
    <col min="7976" max="8182" width="8.85546875" style="76"/>
    <col min="8183" max="8183" width="2.85546875" style="76" customWidth="1"/>
    <col min="8184" max="8184" width="9.28515625" style="76" customWidth="1"/>
    <col min="8185" max="8185" width="9.42578125" style="76" customWidth="1"/>
    <col min="8186" max="8186" width="14.28515625" style="76" customWidth="1"/>
    <col min="8187" max="8187" width="9.140625" style="76" customWidth="1"/>
    <col min="8188" max="8188" width="7.42578125" style="76" customWidth="1"/>
    <col min="8189" max="8228" width="3.28515625" style="76" customWidth="1"/>
    <col min="8229" max="8229" width="10" style="76" customWidth="1"/>
    <col min="8230" max="8230" width="7.42578125" style="76" customWidth="1"/>
    <col min="8231" max="8231" width="30" style="76" customWidth="1"/>
    <col min="8232" max="8438" width="8.85546875" style="76"/>
    <col min="8439" max="8439" width="2.85546875" style="76" customWidth="1"/>
    <col min="8440" max="8440" width="9.28515625" style="76" customWidth="1"/>
    <col min="8441" max="8441" width="9.42578125" style="76" customWidth="1"/>
    <col min="8442" max="8442" width="14.28515625" style="76" customWidth="1"/>
    <col min="8443" max="8443" width="9.140625" style="76" customWidth="1"/>
    <col min="8444" max="8444" width="7.42578125" style="76" customWidth="1"/>
    <col min="8445" max="8484" width="3.28515625" style="76" customWidth="1"/>
    <col min="8485" max="8485" width="10" style="76" customWidth="1"/>
    <col min="8486" max="8486" width="7.42578125" style="76" customWidth="1"/>
    <col min="8487" max="8487" width="30" style="76" customWidth="1"/>
    <col min="8488" max="8694" width="8.85546875" style="76"/>
    <col min="8695" max="8695" width="2.85546875" style="76" customWidth="1"/>
    <col min="8696" max="8696" width="9.28515625" style="76" customWidth="1"/>
    <col min="8697" max="8697" width="9.42578125" style="76" customWidth="1"/>
    <col min="8698" max="8698" width="14.28515625" style="76" customWidth="1"/>
    <col min="8699" max="8699" width="9.140625" style="76" customWidth="1"/>
    <col min="8700" max="8700" width="7.42578125" style="76" customWidth="1"/>
    <col min="8701" max="8740" width="3.28515625" style="76" customWidth="1"/>
    <col min="8741" max="8741" width="10" style="76" customWidth="1"/>
    <col min="8742" max="8742" width="7.42578125" style="76" customWidth="1"/>
    <col min="8743" max="8743" width="30" style="76" customWidth="1"/>
    <col min="8744" max="8950" width="8.85546875" style="76"/>
    <col min="8951" max="8951" width="2.85546875" style="76" customWidth="1"/>
    <col min="8952" max="8952" width="9.28515625" style="76" customWidth="1"/>
    <col min="8953" max="8953" width="9.42578125" style="76" customWidth="1"/>
    <col min="8954" max="8954" width="14.28515625" style="76" customWidth="1"/>
    <col min="8955" max="8955" width="9.140625" style="76" customWidth="1"/>
    <col min="8956" max="8956" width="7.42578125" style="76" customWidth="1"/>
    <col min="8957" max="8996" width="3.28515625" style="76" customWidth="1"/>
    <col min="8997" max="8997" width="10" style="76" customWidth="1"/>
    <col min="8998" max="8998" width="7.42578125" style="76" customWidth="1"/>
    <col min="8999" max="8999" width="30" style="76" customWidth="1"/>
    <col min="9000" max="9206" width="8.85546875" style="76"/>
    <col min="9207" max="9207" width="2.85546875" style="76" customWidth="1"/>
    <col min="9208" max="9208" width="9.28515625" style="76" customWidth="1"/>
    <col min="9209" max="9209" width="9.42578125" style="76" customWidth="1"/>
    <col min="9210" max="9210" width="14.28515625" style="76" customWidth="1"/>
    <col min="9211" max="9211" width="9.140625" style="76" customWidth="1"/>
    <col min="9212" max="9212" width="7.42578125" style="76" customWidth="1"/>
    <col min="9213" max="9252" width="3.28515625" style="76" customWidth="1"/>
    <col min="9253" max="9253" width="10" style="76" customWidth="1"/>
    <col min="9254" max="9254" width="7.42578125" style="76" customWidth="1"/>
    <col min="9255" max="9255" width="30" style="76" customWidth="1"/>
    <col min="9256" max="9462" width="8.85546875" style="76"/>
    <col min="9463" max="9463" width="2.85546875" style="76" customWidth="1"/>
    <col min="9464" max="9464" width="9.28515625" style="76" customWidth="1"/>
    <col min="9465" max="9465" width="9.42578125" style="76" customWidth="1"/>
    <col min="9466" max="9466" width="14.28515625" style="76" customWidth="1"/>
    <col min="9467" max="9467" width="9.140625" style="76" customWidth="1"/>
    <col min="9468" max="9468" width="7.42578125" style="76" customWidth="1"/>
    <col min="9469" max="9508" width="3.28515625" style="76" customWidth="1"/>
    <col min="9509" max="9509" width="10" style="76" customWidth="1"/>
    <col min="9510" max="9510" width="7.42578125" style="76" customWidth="1"/>
    <col min="9511" max="9511" width="30" style="76" customWidth="1"/>
    <col min="9512" max="9718" width="8.85546875" style="76"/>
    <col min="9719" max="9719" width="2.85546875" style="76" customWidth="1"/>
    <col min="9720" max="9720" width="9.28515625" style="76" customWidth="1"/>
    <col min="9721" max="9721" width="9.42578125" style="76" customWidth="1"/>
    <col min="9722" max="9722" width="14.28515625" style="76" customWidth="1"/>
    <col min="9723" max="9723" width="9.140625" style="76" customWidth="1"/>
    <col min="9724" max="9724" width="7.42578125" style="76" customWidth="1"/>
    <col min="9725" max="9764" width="3.28515625" style="76" customWidth="1"/>
    <col min="9765" max="9765" width="10" style="76" customWidth="1"/>
    <col min="9766" max="9766" width="7.42578125" style="76" customWidth="1"/>
    <col min="9767" max="9767" width="30" style="76" customWidth="1"/>
    <col min="9768" max="9974" width="8.85546875" style="76"/>
    <col min="9975" max="9975" width="2.85546875" style="76" customWidth="1"/>
    <col min="9976" max="9976" width="9.28515625" style="76" customWidth="1"/>
    <col min="9977" max="9977" width="9.42578125" style="76" customWidth="1"/>
    <col min="9978" max="9978" width="14.28515625" style="76" customWidth="1"/>
    <col min="9979" max="9979" width="9.140625" style="76" customWidth="1"/>
    <col min="9980" max="9980" width="7.42578125" style="76" customWidth="1"/>
    <col min="9981" max="10020" width="3.28515625" style="76" customWidth="1"/>
    <col min="10021" max="10021" width="10" style="76" customWidth="1"/>
    <col min="10022" max="10022" width="7.42578125" style="76" customWidth="1"/>
    <col min="10023" max="10023" width="30" style="76" customWidth="1"/>
    <col min="10024" max="10230" width="8.85546875" style="76"/>
    <col min="10231" max="10231" width="2.85546875" style="76" customWidth="1"/>
    <col min="10232" max="10232" width="9.28515625" style="76" customWidth="1"/>
    <col min="10233" max="10233" width="9.42578125" style="76" customWidth="1"/>
    <col min="10234" max="10234" width="14.28515625" style="76" customWidth="1"/>
    <col min="10235" max="10235" width="9.140625" style="76" customWidth="1"/>
    <col min="10236" max="10236" width="7.42578125" style="76" customWidth="1"/>
    <col min="10237" max="10276" width="3.28515625" style="76" customWidth="1"/>
    <col min="10277" max="10277" width="10" style="76" customWidth="1"/>
    <col min="10278" max="10278" width="7.42578125" style="76" customWidth="1"/>
    <col min="10279" max="10279" width="30" style="76" customWidth="1"/>
    <col min="10280" max="10486" width="8.85546875" style="76"/>
    <col min="10487" max="10487" width="2.85546875" style="76" customWidth="1"/>
    <col min="10488" max="10488" width="9.28515625" style="76" customWidth="1"/>
    <col min="10489" max="10489" width="9.42578125" style="76" customWidth="1"/>
    <col min="10490" max="10490" width="14.28515625" style="76" customWidth="1"/>
    <col min="10491" max="10491" width="9.140625" style="76" customWidth="1"/>
    <col min="10492" max="10492" width="7.42578125" style="76" customWidth="1"/>
    <col min="10493" max="10532" width="3.28515625" style="76" customWidth="1"/>
    <col min="10533" max="10533" width="10" style="76" customWidth="1"/>
    <col min="10534" max="10534" width="7.42578125" style="76" customWidth="1"/>
    <col min="10535" max="10535" width="30" style="76" customWidth="1"/>
    <col min="10536" max="10742" width="8.85546875" style="76"/>
    <col min="10743" max="10743" width="2.85546875" style="76" customWidth="1"/>
    <col min="10744" max="10744" width="9.28515625" style="76" customWidth="1"/>
    <col min="10745" max="10745" width="9.42578125" style="76" customWidth="1"/>
    <col min="10746" max="10746" width="14.28515625" style="76" customWidth="1"/>
    <col min="10747" max="10747" width="9.140625" style="76" customWidth="1"/>
    <col min="10748" max="10748" width="7.42578125" style="76" customWidth="1"/>
    <col min="10749" max="10788" width="3.28515625" style="76" customWidth="1"/>
    <col min="10789" max="10789" width="10" style="76" customWidth="1"/>
    <col min="10790" max="10790" width="7.42578125" style="76" customWidth="1"/>
    <col min="10791" max="10791" width="30" style="76" customWidth="1"/>
    <col min="10792" max="10998" width="8.85546875" style="76"/>
    <col min="10999" max="10999" width="2.85546875" style="76" customWidth="1"/>
    <col min="11000" max="11000" width="9.28515625" style="76" customWidth="1"/>
    <col min="11001" max="11001" width="9.42578125" style="76" customWidth="1"/>
    <col min="11002" max="11002" width="14.28515625" style="76" customWidth="1"/>
    <col min="11003" max="11003" width="9.140625" style="76" customWidth="1"/>
    <col min="11004" max="11004" width="7.42578125" style="76" customWidth="1"/>
    <col min="11005" max="11044" width="3.28515625" style="76" customWidth="1"/>
    <col min="11045" max="11045" width="10" style="76" customWidth="1"/>
    <col min="11046" max="11046" width="7.42578125" style="76" customWidth="1"/>
    <col min="11047" max="11047" width="30" style="76" customWidth="1"/>
    <col min="11048" max="11254" width="8.85546875" style="76"/>
    <col min="11255" max="11255" width="2.85546875" style="76" customWidth="1"/>
    <col min="11256" max="11256" width="9.28515625" style="76" customWidth="1"/>
    <col min="11257" max="11257" width="9.42578125" style="76" customWidth="1"/>
    <col min="11258" max="11258" width="14.28515625" style="76" customWidth="1"/>
    <col min="11259" max="11259" width="9.140625" style="76" customWidth="1"/>
    <col min="11260" max="11260" width="7.42578125" style="76" customWidth="1"/>
    <col min="11261" max="11300" width="3.28515625" style="76" customWidth="1"/>
    <col min="11301" max="11301" width="10" style="76" customWidth="1"/>
    <col min="11302" max="11302" width="7.42578125" style="76" customWidth="1"/>
    <col min="11303" max="11303" width="30" style="76" customWidth="1"/>
    <col min="11304" max="11510" width="8.85546875" style="76"/>
    <col min="11511" max="11511" width="2.85546875" style="76" customWidth="1"/>
    <col min="11512" max="11512" width="9.28515625" style="76" customWidth="1"/>
    <col min="11513" max="11513" width="9.42578125" style="76" customWidth="1"/>
    <col min="11514" max="11514" width="14.28515625" style="76" customWidth="1"/>
    <col min="11515" max="11515" width="9.140625" style="76" customWidth="1"/>
    <col min="11516" max="11516" width="7.42578125" style="76" customWidth="1"/>
    <col min="11517" max="11556" width="3.28515625" style="76" customWidth="1"/>
    <col min="11557" max="11557" width="10" style="76" customWidth="1"/>
    <col min="11558" max="11558" width="7.42578125" style="76" customWidth="1"/>
    <col min="11559" max="11559" width="30" style="76" customWidth="1"/>
    <col min="11560" max="11766" width="8.85546875" style="76"/>
    <col min="11767" max="11767" width="2.85546875" style="76" customWidth="1"/>
    <col min="11768" max="11768" width="9.28515625" style="76" customWidth="1"/>
    <col min="11769" max="11769" width="9.42578125" style="76" customWidth="1"/>
    <col min="11770" max="11770" width="14.28515625" style="76" customWidth="1"/>
    <col min="11771" max="11771" width="9.140625" style="76" customWidth="1"/>
    <col min="11772" max="11772" width="7.42578125" style="76" customWidth="1"/>
    <col min="11773" max="11812" width="3.28515625" style="76" customWidth="1"/>
    <col min="11813" max="11813" width="10" style="76" customWidth="1"/>
    <col min="11814" max="11814" width="7.42578125" style="76" customWidth="1"/>
    <col min="11815" max="11815" width="30" style="76" customWidth="1"/>
    <col min="11816" max="12022" width="8.85546875" style="76"/>
    <col min="12023" max="12023" width="2.85546875" style="76" customWidth="1"/>
    <col min="12024" max="12024" width="9.28515625" style="76" customWidth="1"/>
    <col min="12025" max="12025" width="9.42578125" style="76" customWidth="1"/>
    <col min="12026" max="12026" width="14.28515625" style="76" customWidth="1"/>
    <col min="12027" max="12027" width="9.140625" style="76" customWidth="1"/>
    <col min="12028" max="12028" width="7.42578125" style="76" customWidth="1"/>
    <col min="12029" max="12068" width="3.28515625" style="76" customWidth="1"/>
    <col min="12069" max="12069" width="10" style="76" customWidth="1"/>
    <col min="12070" max="12070" width="7.42578125" style="76" customWidth="1"/>
    <col min="12071" max="12071" width="30" style="76" customWidth="1"/>
    <col min="12072" max="12278" width="8.85546875" style="76"/>
    <col min="12279" max="12279" width="2.85546875" style="76" customWidth="1"/>
    <col min="12280" max="12280" width="9.28515625" style="76" customWidth="1"/>
    <col min="12281" max="12281" width="9.42578125" style="76" customWidth="1"/>
    <col min="12282" max="12282" width="14.28515625" style="76" customWidth="1"/>
    <col min="12283" max="12283" width="9.140625" style="76" customWidth="1"/>
    <col min="12284" max="12284" width="7.42578125" style="76" customWidth="1"/>
    <col min="12285" max="12324" width="3.28515625" style="76" customWidth="1"/>
    <col min="12325" max="12325" width="10" style="76" customWidth="1"/>
    <col min="12326" max="12326" width="7.42578125" style="76" customWidth="1"/>
    <col min="12327" max="12327" width="30" style="76" customWidth="1"/>
    <col min="12328" max="12534" width="8.85546875" style="76"/>
    <col min="12535" max="12535" width="2.85546875" style="76" customWidth="1"/>
    <col min="12536" max="12536" width="9.28515625" style="76" customWidth="1"/>
    <col min="12537" max="12537" width="9.42578125" style="76" customWidth="1"/>
    <col min="12538" max="12538" width="14.28515625" style="76" customWidth="1"/>
    <col min="12539" max="12539" width="9.140625" style="76" customWidth="1"/>
    <col min="12540" max="12540" width="7.42578125" style="76" customWidth="1"/>
    <col min="12541" max="12580" width="3.28515625" style="76" customWidth="1"/>
    <col min="12581" max="12581" width="10" style="76" customWidth="1"/>
    <col min="12582" max="12582" width="7.42578125" style="76" customWidth="1"/>
    <col min="12583" max="12583" width="30" style="76" customWidth="1"/>
    <col min="12584" max="12790" width="8.85546875" style="76"/>
    <col min="12791" max="12791" width="2.85546875" style="76" customWidth="1"/>
    <col min="12792" max="12792" width="9.28515625" style="76" customWidth="1"/>
    <col min="12793" max="12793" width="9.42578125" style="76" customWidth="1"/>
    <col min="12794" max="12794" width="14.28515625" style="76" customWidth="1"/>
    <col min="12795" max="12795" width="9.140625" style="76" customWidth="1"/>
    <col min="12796" max="12796" width="7.42578125" style="76" customWidth="1"/>
    <col min="12797" max="12836" width="3.28515625" style="76" customWidth="1"/>
    <col min="12837" max="12837" width="10" style="76" customWidth="1"/>
    <col min="12838" max="12838" width="7.42578125" style="76" customWidth="1"/>
    <col min="12839" max="12839" width="30" style="76" customWidth="1"/>
    <col min="12840" max="13046" width="8.85546875" style="76"/>
    <col min="13047" max="13047" width="2.85546875" style="76" customWidth="1"/>
    <col min="13048" max="13048" width="9.28515625" style="76" customWidth="1"/>
    <col min="13049" max="13049" width="9.42578125" style="76" customWidth="1"/>
    <col min="13050" max="13050" width="14.28515625" style="76" customWidth="1"/>
    <col min="13051" max="13051" width="9.140625" style="76" customWidth="1"/>
    <col min="13052" max="13052" width="7.42578125" style="76" customWidth="1"/>
    <col min="13053" max="13092" width="3.28515625" style="76" customWidth="1"/>
    <col min="13093" max="13093" width="10" style="76" customWidth="1"/>
    <col min="13094" max="13094" width="7.42578125" style="76" customWidth="1"/>
    <col min="13095" max="13095" width="30" style="76" customWidth="1"/>
    <col min="13096" max="13302" width="8.85546875" style="76"/>
    <col min="13303" max="13303" width="2.85546875" style="76" customWidth="1"/>
    <col min="13304" max="13304" width="9.28515625" style="76" customWidth="1"/>
    <col min="13305" max="13305" width="9.42578125" style="76" customWidth="1"/>
    <col min="13306" max="13306" width="14.28515625" style="76" customWidth="1"/>
    <col min="13307" max="13307" width="9.140625" style="76" customWidth="1"/>
    <col min="13308" max="13308" width="7.42578125" style="76" customWidth="1"/>
    <col min="13309" max="13348" width="3.28515625" style="76" customWidth="1"/>
    <col min="13349" max="13349" width="10" style="76" customWidth="1"/>
    <col min="13350" max="13350" width="7.42578125" style="76" customWidth="1"/>
    <col min="13351" max="13351" width="30" style="76" customWidth="1"/>
    <col min="13352" max="13558" width="8.85546875" style="76"/>
    <col min="13559" max="13559" width="2.85546875" style="76" customWidth="1"/>
    <col min="13560" max="13560" width="9.28515625" style="76" customWidth="1"/>
    <col min="13561" max="13561" width="9.42578125" style="76" customWidth="1"/>
    <col min="13562" max="13562" width="14.28515625" style="76" customWidth="1"/>
    <col min="13563" max="13563" width="9.140625" style="76" customWidth="1"/>
    <col min="13564" max="13564" width="7.42578125" style="76" customWidth="1"/>
    <col min="13565" max="13604" width="3.28515625" style="76" customWidth="1"/>
    <col min="13605" max="13605" width="10" style="76" customWidth="1"/>
    <col min="13606" max="13606" width="7.42578125" style="76" customWidth="1"/>
    <col min="13607" max="13607" width="30" style="76" customWidth="1"/>
    <col min="13608" max="13814" width="8.85546875" style="76"/>
    <col min="13815" max="13815" width="2.85546875" style="76" customWidth="1"/>
    <col min="13816" max="13816" width="9.28515625" style="76" customWidth="1"/>
    <col min="13817" max="13817" width="9.42578125" style="76" customWidth="1"/>
    <col min="13818" max="13818" width="14.28515625" style="76" customWidth="1"/>
    <col min="13819" max="13819" width="9.140625" style="76" customWidth="1"/>
    <col min="13820" max="13820" width="7.42578125" style="76" customWidth="1"/>
    <col min="13821" max="13860" width="3.28515625" style="76" customWidth="1"/>
    <col min="13861" max="13861" width="10" style="76" customWidth="1"/>
    <col min="13862" max="13862" width="7.42578125" style="76" customWidth="1"/>
    <col min="13863" max="13863" width="30" style="76" customWidth="1"/>
    <col min="13864" max="14070" width="8.85546875" style="76"/>
    <col min="14071" max="14071" width="2.85546875" style="76" customWidth="1"/>
    <col min="14072" max="14072" width="9.28515625" style="76" customWidth="1"/>
    <col min="14073" max="14073" width="9.42578125" style="76" customWidth="1"/>
    <col min="14074" max="14074" width="14.28515625" style="76" customWidth="1"/>
    <col min="14075" max="14075" width="9.140625" style="76" customWidth="1"/>
    <col min="14076" max="14076" width="7.42578125" style="76" customWidth="1"/>
    <col min="14077" max="14116" width="3.28515625" style="76" customWidth="1"/>
    <col min="14117" max="14117" width="10" style="76" customWidth="1"/>
    <col min="14118" max="14118" width="7.42578125" style="76" customWidth="1"/>
    <col min="14119" max="14119" width="30" style="76" customWidth="1"/>
    <col min="14120" max="14326" width="8.85546875" style="76"/>
    <col min="14327" max="14327" width="2.85546875" style="76" customWidth="1"/>
    <col min="14328" max="14328" width="9.28515625" style="76" customWidth="1"/>
    <col min="14329" max="14329" width="9.42578125" style="76" customWidth="1"/>
    <col min="14330" max="14330" width="14.28515625" style="76" customWidth="1"/>
    <col min="14331" max="14331" width="9.140625" style="76" customWidth="1"/>
    <col min="14332" max="14332" width="7.42578125" style="76" customWidth="1"/>
    <col min="14333" max="14372" width="3.28515625" style="76" customWidth="1"/>
    <col min="14373" max="14373" width="10" style="76" customWidth="1"/>
    <col min="14374" max="14374" width="7.42578125" style="76" customWidth="1"/>
    <col min="14375" max="14375" width="30" style="76" customWidth="1"/>
    <col min="14376" max="14582" width="8.85546875" style="76"/>
    <col min="14583" max="14583" width="2.85546875" style="76" customWidth="1"/>
    <col min="14584" max="14584" width="9.28515625" style="76" customWidth="1"/>
    <col min="14585" max="14585" width="9.42578125" style="76" customWidth="1"/>
    <col min="14586" max="14586" width="14.28515625" style="76" customWidth="1"/>
    <col min="14587" max="14587" width="9.140625" style="76" customWidth="1"/>
    <col min="14588" max="14588" width="7.42578125" style="76" customWidth="1"/>
    <col min="14589" max="14628" width="3.28515625" style="76" customWidth="1"/>
    <col min="14629" max="14629" width="10" style="76" customWidth="1"/>
    <col min="14630" max="14630" width="7.42578125" style="76" customWidth="1"/>
    <col min="14631" max="14631" width="30" style="76" customWidth="1"/>
    <col min="14632" max="14838" width="8.85546875" style="76"/>
    <col min="14839" max="14839" width="2.85546875" style="76" customWidth="1"/>
    <col min="14840" max="14840" width="9.28515625" style="76" customWidth="1"/>
    <col min="14841" max="14841" width="9.42578125" style="76" customWidth="1"/>
    <col min="14842" max="14842" width="14.28515625" style="76" customWidth="1"/>
    <col min="14843" max="14843" width="9.140625" style="76" customWidth="1"/>
    <col min="14844" max="14844" width="7.42578125" style="76" customWidth="1"/>
    <col min="14845" max="14884" width="3.28515625" style="76" customWidth="1"/>
    <col min="14885" max="14885" width="10" style="76" customWidth="1"/>
    <col min="14886" max="14886" width="7.42578125" style="76" customWidth="1"/>
    <col min="14887" max="14887" width="30" style="76" customWidth="1"/>
    <col min="14888" max="15094" width="8.85546875" style="76"/>
    <col min="15095" max="15095" width="2.85546875" style="76" customWidth="1"/>
    <col min="15096" max="15096" width="9.28515625" style="76" customWidth="1"/>
    <col min="15097" max="15097" width="9.42578125" style="76" customWidth="1"/>
    <col min="15098" max="15098" width="14.28515625" style="76" customWidth="1"/>
    <col min="15099" max="15099" width="9.140625" style="76" customWidth="1"/>
    <col min="15100" max="15100" width="7.42578125" style="76" customWidth="1"/>
    <col min="15101" max="15140" width="3.28515625" style="76" customWidth="1"/>
    <col min="15141" max="15141" width="10" style="76" customWidth="1"/>
    <col min="15142" max="15142" width="7.42578125" style="76" customWidth="1"/>
    <col min="15143" max="15143" width="30" style="76" customWidth="1"/>
    <col min="15144" max="15350" width="8.85546875" style="76"/>
    <col min="15351" max="15351" width="2.85546875" style="76" customWidth="1"/>
    <col min="15352" max="15352" width="9.28515625" style="76" customWidth="1"/>
    <col min="15353" max="15353" width="9.42578125" style="76" customWidth="1"/>
    <col min="15354" max="15354" width="14.28515625" style="76" customWidth="1"/>
    <col min="15355" max="15355" width="9.140625" style="76" customWidth="1"/>
    <col min="15356" max="15356" width="7.42578125" style="76" customWidth="1"/>
    <col min="15357" max="15396" width="3.28515625" style="76" customWidth="1"/>
    <col min="15397" max="15397" width="10" style="76" customWidth="1"/>
    <col min="15398" max="15398" width="7.42578125" style="76" customWidth="1"/>
    <col min="15399" max="15399" width="30" style="76" customWidth="1"/>
    <col min="15400" max="15606" width="8.85546875" style="76"/>
    <col min="15607" max="15607" width="2.85546875" style="76" customWidth="1"/>
    <col min="15608" max="15608" width="9.28515625" style="76" customWidth="1"/>
    <col min="15609" max="15609" width="9.42578125" style="76" customWidth="1"/>
    <col min="15610" max="15610" width="14.28515625" style="76" customWidth="1"/>
    <col min="15611" max="15611" width="9.140625" style="76" customWidth="1"/>
    <col min="15612" max="15612" width="7.42578125" style="76" customWidth="1"/>
    <col min="15613" max="15652" width="3.28515625" style="76" customWidth="1"/>
    <col min="15653" max="15653" width="10" style="76" customWidth="1"/>
    <col min="15654" max="15654" width="7.42578125" style="76" customWidth="1"/>
    <col min="15655" max="15655" width="30" style="76" customWidth="1"/>
    <col min="15656" max="15862" width="8.85546875" style="76"/>
    <col min="15863" max="15863" width="2.85546875" style="76" customWidth="1"/>
    <col min="15864" max="15864" width="9.28515625" style="76" customWidth="1"/>
    <col min="15865" max="15865" width="9.42578125" style="76" customWidth="1"/>
    <col min="15866" max="15866" width="14.28515625" style="76" customWidth="1"/>
    <col min="15867" max="15867" width="9.140625" style="76" customWidth="1"/>
    <col min="15868" max="15868" width="7.42578125" style="76" customWidth="1"/>
    <col min="15869" max="15908" width="3.28515625" style="76" customWidth="1"/>
    <col min="15909" max="15909" width="10" style="76" customWidth="1"/>
    <col min="15910" max="15910" width="7.42578125" style="76" customWidth="1"/>
    <col min="15911" max="15911" width="30" style="76" customWidth="1"/>
    <col min="15912" max="16118" width="8.85546875" style="76"/>
    <col min="16119" max="16119" width="2.85546875" style="76" customWidth="1"/>
    <col min="16120" max="16120" width="9.28515625" style="76" customWidth="1"/>
    <col min="16121" max="16121" width="9.42578125" style="76" customWidth="1"/>
    <col min="16122" max="16122" width="14.28515625" style="76" customWidth="1"/>
    <col min="16123" max="16123" width="9.140625" style="76" customWidth="1"/>
    <col min="16124" max="16124" width="7.42578125" style="76" customWidth="1"/>
    <col min="16125" max="16164" width="3.28515625" style="76" customWidth="1"/>
    <col min="16165" max="16165" width="10" style="76" customWidth="1"/>
    <col min="16166" max="16166" width="7.42578125" style="76" customWidth="1"/>
    <col min="16167" max="16167" width="30" style="76" customWidth="1"/>
    <col min="16168" max="16384" width="8.85546875" style="76"/>
  </cols>
  <sheetData>
    <row r="1" spans="1:58" s="79" customFormat="1" ht="27.75" customHeight="1" x14ac:dyDescent="0.25">
      <c r="A1" s="808" t="s">
        <v>16</v>
      </c>
      <c r="B1" s="810" t="s">
        <v>14</v>
      </c>
      <c r="C1" s="812" t="s">
        <v>260</v>
      </c>
      <c r="D1" s="812" t="s">
        <v>179</v>
      </c>
      <c r="E1" s="812" t="s">
        <v>146</v>
      </c>
      <c r="F1" s="801" t="s">
        <v>147</v>
      </c>
      <c r="G1" s="803" t="s">
        <v>180</v>
      </c>
      <c r="H1" s="805">
        <v>43922</v>
      </c>
      <c r="I1" s="806"/>
      <c r="J1" s="806"/>
      <c r="K1" s="807"/>
      <c r="L1" s="805">
        <v>43952</v>
      </c>
      <c r="M1" s="806"/>
      <c r="N1" s="806"/>
      <c r="O1" s="807"/>
      <c r="P1" s="805">
        <v>43983</v>
      </c>
      <c r="Q1" s="806"/>
      <c r="R1" s="806"/>
      <c r="S1" s="807"/>
      <c r="T1" s="805">
        <v>44013</v>
      </c>
      <c r="U1" s="806"/>
      <c r="V1" s="806"/>
      <c r="W1" s="807"/>
      <c r="X1" s="805">
        <v>44044</v>
      </c>
      <c r="Y1" s="806"/>
      <c r="Z1" s="806"/>
      <c r="AA1" s="807"/>
      <c r="AB1" s="805">
        <v>44075</v>
      </c>
      <c r="AC1" s="806"/>
      <c r="AD1" s="806"/>
      <c r="AE1" s="807"/>
      <c r="AF1" s="805">
        <v>44105</v>
      </c>
      <c r="AG1" s="806"/>
      <c r="AH1" s="806"/>
      <c r="AI1" s="807"/>
      <c r="AJ1" s="805">
        <v>44136</v>
      </c>
      <c r="AK1" s="806"/>
      <c r="AL1" s="806"/>
      <c r="AM1" s="807"/>
      <c r="AN1" s="805">
        <v>44166</v>
      </c>
      <c r="AO1" s="806"/>
      <c r="AP1" s="806"/>
      <c r="AQ1" s="807"/>
      <c r="AR1" s="805">
        <v>44197</v>
      </c>
      <c r="AS1" s="806"/>
      <c r="AT1" s="806"/>
      <c r="AU1" s="807"/>
      <c r="AV1" s="805">
        <v>44228</v>
      </c>
      <c r="AW1" s="806"/>
      <c r="AX1" s="806"/>
      <c r="AY1" s="807"/>
      <c r="AZ1" s="805">
        <v>44256</v>
      </c>
      <c r="BA1" s="806"/>
      <c r="BB1" s="806"/>
      <c r="BC1" s="807"/>
      <c r="BD1" s="815" t="s">
        <v>148</v>
      </c>
      <c r="BE1" s="77" t="s">
        <v>149</v>
      </c>
      <c r="BF1" s="78"/>
    </row>
    <row r="2" spans="1:58" s="90" customFormat="1" ht="45" customHeight="1" thickBot="1" x14ac:dyDescent="0.3">
      <c r="A2" s="809"/>
      <c r="B2" s="811"/>
      <c r="C2" s="814"/>
      <c r="D2" s="813"/>
      <c r="E2" s="813"/>
      <c r="F2" s="802"/>
      <c r="G2" s="804"/>
      <c r="H2" s="80" t="s">
        <v>150</v>
      </c>
      <c r="I2" s="81" t="s">
        <v>151</v>
      </c>
      <c r="J2" s="81" t="s">
        <v>152</v>
      </c>
      <c r="K2" s="82" t="s">
        <v>153</v>
      </c>
      <c r="L2" s="83" t="s">
        <v>150</v>
      </c>
      <c r="M2" s="84" t="s">
        <v>151</v>
      </c>
      <c r="N2" s="84" t="s">
        <v>152</v>
      </c>
      <c r="O2" s="85" t="s">
        <v>153</v>
      </c>
      <c r="P2" s="86" t="s">
        <v>150</v>
      </c>
      <c r="Q2" s="84" t="s">
        <v>151</v>
      </c>
      <c r="R2" s="84" t="s">
        <v>152</v>
      </c>
      <c r="S2" s="87" t="s">
        <v>153</v>
      </c>
      <c r="T2" s="80" t="s">
        <v>150</v>
      </c>
      <c r="U2" s="81" t="s">
        <v>151</v>
      </c>
      <c r="V2" s="81" t="s">
        <v>152</v>
      </c>
      <c r="W2" s="82" t="s">
        <v>153</v>
      </c>
      <c r="X2" s="83" t="s">
        <v>150</v>
      </c>
      <c r="Y2" s="84" t="s">
        <v>151</v>
      </c>
      <c r="Z2" s="84" t="s">
        <v>152</v>
      </c>
      <c r="AA2" s="85" t="s">
        <v>153</v>
      </c>
      <c r="AB2" s="83" t="s">
        <v>150</v>
      </c>
      <c r="AC2" s="84" t="s">
        <v>151</v>
      </c>
      <c r="AD2" s="84" t="s">
        <v>152</v>
      </c>
      <c r="AE2" s="85" t="s">
        <v>153</v>
      </c>
      <c r="AF2" s="86" t="s">
        <v>150</v>
      </c>
      <c r="AG2" s="84" t="s">
        <v>151</v>
      </c>
      <c r="AH2" s="84" t="s">
        <v>152</v>
      </c>
      <c r="AI2" s="85" t="s">
        <v>153</v>
      </c>
      <c r="AJ2" s="83" t="s">
        <v>150</v>
      </c>
      <c r="AK2" s="84" t="s">
        <v>151</v>
      </c>
      <c r="AL2" s="84" t="s">
        <v>152</v>
      </c>
      <c r="AM2" s="85" t="s">
        <v>153</v>
      </c>
      <c r="AN2" s="83" t="s">
        <v>150</v>
      </c>
      <c r="AO2" s="84" t="s">
        <v>151</v>
      </c>
      <c r="AP2" s="84" t="s">
        <v>152</v>
      </c>
      <c r="AQ2" s="85" t="s">
        <v>153</v>
      </c>
      <c r="AR2" s="83" t="s">
        <v>150</v>
      </c>
      <c r="AS2" s="84" t="s">
        <v>151</v>
      </c>
      <c r="AT2" s="84" t="s">
        <v>152</v>
      </c>
      <c r="AU2" s="85" t="s">
        <v>153</v>
      </c>
      <c r="AV2" s="83" t="s">
        <v>150</v>
      </c>
      <c r="AW2" s="84" t="s">
        <v>151</v>
      </c>
      <c r="AX2" s="84" t="s">
        <v>152</v>
      </c>
      <c r="AY2" s="87" t="s">
        <v>153</v>
      </c>
      <c r="AZ2" s="83" t="s">
        <v>150</v>
      </c>
      <c r="BA2" s="84" t="s">
        <v>151</v>
      </c>
      <c r="BB2" s="84" t="s">
        <v>152</v>
      </c>
      <c r="BC2" s="85" t="s">
        <v>153</v>
      </c>
      <c r="BD2" s="816"/>
      <c r="BE2" s="88" t="s">
        <v>154</v>
      </c>
      <c r="BF2" s="89"/>
    </row>
    <row r="3" spans="1:58" ht="15.75" x14ac:dyDescent="0.25">
      <c r="A3" s="817">
        <v>1</v>
      </c>
      <c r="B3" s="819" t="s">
        <v>155</v>
      </c>
      <c r="C3" s="160"/>
      <c r="D3" s="821"/>
      <c r="E3" s="821"/>
      <c r="F3" s="823" t="e">
        <f>AVERAGE(F5,F13,F25,F37,F49,F61)</f>
        <v>#DIV/0!</v>
      </c>
      <c r="G3" s="91" t="s">
        <v>12</v>
      </c>
      <c r="H3" s="113">
        <f t="shared" ref="H3:X4" si="0">SUM(H5,H7,H9,H11)</f>
        <v>0</v>
      </c>
      <c r="I3" s="113">
        <f t="shared" si="0"/>
        <v>0</v>
      </c>
      <c r="J3" s="113">
        <f t="shared" si="0"/>
        <v>0</v>
      </c>
      <c r="K3" s="114">
        <f t="shared" si="0"/>
        <v>0</v>
      </c>
      <c r="L3" s="115">
        <f t="shared" si="0"/>
        <v>0</v>
      </c>
      <c r="M3" s="116">
        <f t="shared" si="0"/>
        <v>0</v>
      </c>
      <c r="N3" s="116">
        <f t="shared" si="0"/>
        <v>0</v>
      </c>
      <c r="O3" s="117">
        <f t="shared" si="0"/>
        <v>0</v>
      </c>
      <c r="P3" s="115">
        <f t="shared" si="0"/>
        <v>0</v>
      </c>
      <c r="Q3" s="116">
        <f t="shared" si="0"/>
        <v>0</v>
      </c>
      <c r="R3" s="116">
        <f t="shared" si="0"/>
        <v>0</v>
      </c>
      <c r="S3" s="118">
        <f>SUM(S5,S7,S9,S11)</f>
        <v>0</v>
      </c>
      <c r="T3" s="115"/>
      <c r="U3" s="116">
        <f>SUM(U5,U7,U9,U11)</f>
        <v>0</v>
      </c>
      <c r="V3" s="116">
        <f>SUM(V5,V7,V9,V11)</f>
        <v>0</v>
      </c>
      <c r="W3" s="118">
        <f t="shared" ref="W3:BC4" si="1">SUM(W5,W7,W9,W11)</f>
        <v>0</v>
      </c>
      <c r="X3" s="115">
        <f t="shared" si="1"/>
        <v>0</v>
      </c>
      <c r="Y3" s="116">
        <f t="shared" si="1"/>
        <v>0</v>
      </c>
      <c r="Z3" s="116">
        <f t="shared" si="1"/>
        <v>0</v>
      </c>
      <c r="AA3" s="118">
        <f t="shared" si="1"/>
        <v>0</v>
      </c>
      <c r="AB3" s="115">
        <f t="shared" si="1"/>
        <v>0</v>
      </c>
      <c r="AC3" s="116">
        <f t="shared" si="1"/>
        <v>0</v>
      </c>
      <c r="AD3" s="116">
        <f t="shared" si="1"/>
        <v>0</v>
      </c>
      <c r="AE3" s="118">
        <f t="shared" si="1"/>
        <v>0</v>
      </c>
      <c r="AF3" s="115">
        <f t="shared" si="1"/>
        <v>0</v>
      </c>
      <c r="AG3" s="116">
        <f t="shared" si="1"/>
        <v>0</v>
      </c>
      <c r="AH3" s="116">
        <f t="shared" si="1"/>
        <v>0</v>
      </c>
      <c r="AI3" s="118">
        <f t="shared" si="1"/>
        <v>0</v>
      </c>
      <c r="AJ3" s="115">
        <f t="shared" si="1"/>
        <v>0</v>
      </c>
      <c r="AK3" s="116">
        <f t="shared" si="1"/>
        <v>0</v>
      </c>
      <c r="AL3" s="116">
        <f t="shared" si="1"/>
        <v>0</v>
      </c>
      <c r="AM3" s="118">
        <f t="shared" si="1"/>
        <v>0</v>
      </c>
      <c r="AN3" s="115">
        <f t="shared" si="1"/>
        <v>0</v>
      </c>
      <c r="AO3" s="116">
        <f t="shared" si="1"/>
        <v>0</v>
      </c>
      <c r="AP3" s="116">
        <f t="shared" si="1"/>
        <v>0</v>
      </c>
      <c r="AQ3" s="118">
        <f t="shared" si="1"/>
        <v>0</v>
      </c>
      <c r="AR3" s="115">
        <f t="shared" si="1"/>
        <v>0</v>
      </c>
      <c r="AS3" s="116">
        <f t="shared" si="1"/>
        <v>0</v>
      </c>
      <c r="AT3" s="116">
        <f t="shared" si="1"/>
        <v>0</v>
      </c>
      <c r="AU3" s="118">
        <f t="shared" si="1"/>
        <v>0</v>
      </c>
      <c r="AV3" s="115">
        <f t="shared" si="1"/>
        <v>0</v>
      </c>
      <c r="AW3" s="116">
        <f t="shared" si="1"/>
        <v>0</v>
      </c>
      <c r="AX3" s="116">
        <f t="shared" si="1"/>
        <v>0</v>
      </c>
      <c r="AY3" s="118">
        <f t="shared" si="1"/>
        <v>0</v>
      </c>
      <c r="AZ3" s="115">
        <f t="shared" si="1"/>
        <v>0</v>
      </c>
      <c r="BA3" s="116">
        <f t="shared" si="1"/>
        <v>0</v>
      </c>
      <c r="BB3" s="116">
        <f t="shared" si="1"/>
        <v>0</v>
      </c>
      <c r="BC3" s="118">
        <f t="shared" si="1"/>
        <v>0</v>
      </c>
      <c r="BD3" s="825"/>
    </row>
    <row r="4" spans="1:58" ht="15.75" customHeight="1" thickBot="1" x14ac:dyDescent="0.3">
      <c r="A4" s="818"/>
      <c r="B4" s="820"/>
      <c r="C4" s="181"/>
      <c r="D4" s="822"/>
      <c r="E4" s="822"/>
      <c r="F4" s="824"/>
      <c r="G4" s="92" t="s">
        <v>11</v>
      </c>
      <c r="H4" s="93">
        <f>SUM(H6,H8,H10,H12)</f>
        <v>0</v>
      </c>
      <c r="I4" s="94">
        <f t="shared" si="0"/>
        <v>0</v>
      </c>
      <c r="J4" s="94">
        <f t="shared" si="0"/>
        <v>0</v>
      </c>
      <c r="K4" s="95">
        <f t="shared" si="0"/>
        <v>0</v>
      </c>
      <c r="L4" s="96">
        <f t="shared" si="0"/>
        <v>0</v>
      </c>
      <c r="M4" s="97">
        <f t="shared" si="0"/>
        <v>0</v>
      </c>
      <c r="N4" s="97">
        <f t="shared" si="0"/>
        <v>0</v>
      </c>
      <c r="O4" s="95">
        <f t="shared" si="0"/>
        <v>0</v>
      </c>
      <c r="P4" s="96">
        <f t="shared" si="0"/>
        <v>0</v>
      </c>
      <c r="Q4" s="97">
        <f t="shared" si="0"/>
        <v>0</v>
      </c>
      <c r="R4" s="97">
        <f t="shared" si="0"/>
        <v>0</v>
      </c>
      <c r="S4" s="94">
        <f t="shared" si="0"/>
        <v>0</v>
      </c>
      <c r="T4" s="96"/>
      <c r="U4" s="97">
        <f t="shared" si="0"/>
        <v>0</v>
      </c>
      <c r="V4" s="97">
        <f t="shared" si="0"/>
        <v>0</v>
      </c>
      <c r="W4" s="94">
        <f t="shared" si="0"/>
        <v>0</v>
      </c>
      <c r="X4" s="96">
        <f t="shared" si="0"/>
        <v>0</v>
      </c>
      <c r="Y4" s="97">
        <f t="shared" si="1"/>
        <v>0</v>
      </c>
      <c r="Z4" s="97">
        <f t="shared" si="1"/>
        <v>0</v>
      </c>
      <c r="AA4" s="94">
        <f t="shared" si="1"/>
        <v>0</v>
      </c>
      <c r="AB4" s="96">
        <f t="shared" si="1"/>
        <v>0</v>
      </c>
      <c r="AC4" s="97">
        <f t="shared" si="1"/>
        <v>0</v>
      </c>
      <c r="AD4" s="97">
        <f t="shared" si="1"/>
        <v>0</v>
      </c>
      <c r="AE4" s="94">
        <f t="shared" si="1"/>
        <v>0</v>
      </c>
      <c r="AF4" s="96">
        <f t="shared" si="1"/>
        <v>0</v>
      </c>
      <c r="AG4" s="97">
        <f t="shared" si="1"/>
        <v>0</v>
      </c>
      <c r="AH4" s="97">
        <f t="shared" si="1"/>
        <v>0</v>
      </c>
      <c r="AI4" s="94">
        <f t="shared" si="1"/>
        <v>0</v>
      </c>
      <c r="AJ4" s="96">
        <f t="shared" si="1"/>
        <v>0</v>
      </c>
      <c r="AK4" s="97">
        <f t="shared" si="1"/>
        <v>0</v>
      </c>
      <c r="AL4" s="97">
        <f t="shared" si="1"/>
        <v>0</v>
      </c>
      <c r="AM4" s="94">
        <f t="shared" si="1"/>
        <v>0</v>
      </c>
      <c r="AN4" s="96">
        <f t="shared" si="1"/>
        <v>0</v>
      </c>
      <c r="AO4" s="97">
        <f t="shared" si="1"/>
        <v>0</v>
      </c>
      <c r="AP4" s="97">
        <f t="shared" si="1"/>
        <v>0</v>
      </c>
      <c r="AQ4" s="94">
        <f t="shared" si="1"/>
        <v>0</v>
      </c>
      <c r="AR4" s="96">
        <f t="shared" si="1"/>
        <v>0</v>
      </c>
      <c r="AS4" s="97">
        <f t="shared" si="1"/>
        <v>0</v>
      </c>
      <c r="AT4" s="97">
        <f t="shared" si="1"/>
        <v>0</v>
      </c>
      <c r="AU4" s="94">
        <f t="shared" si="1"/>
        <v>0</v>
      </c>
      <c r="AV4" s="96">
        <f t="shared" si="1"/>
        <v>0</v>
      </c>
      <c r="AW4" s="97">
        <f t="shared" si="1"/>
        <v>0</v>
      </c>
      <c r="AX4" s="97">
        <f t="shared" si="1"/>
        <v>0</v>
      </c>
      <c r="AY4" s="94">
        <f t="shared" si="1"/>
        <v>0</v>
      </c>
      <c r="AZ4" s="96">
        <f t="shared" si="1"/>
        <v>0</v>
      </c>
      <c r="BA4" s="97">
        <f t="shared" si="1"/>
        <v>0</v>
      </c>
      <c r="BB4" s="97">
        <f t="shared" si="1"/>
        <v>0</v>
      </c>
      <c r="BC4" s="94">
        <f t="shared" si="1"/>
        <v>0</v>
      </c>
      <c r="BD4" s="825"/>
    </row>
    <row r="5" spans="1:58" s="107" customFormat="1" ht="15" customHeight="1" x14ac:dyDescent="0.25">
      <c r="A5" s="826">
        <v>1.1000000000000001</v>
      </c>
      <c r="B5" s="829" t="s">
        <v>156</v>
      </c>
      <c r="C5" s="180">
        <v>5</v>
      </c>
      <c r="D5" s="831"/>
      <c r="E5" s="835"/>
      <c r="F5" s="837" t="e">
        <f>SUM(H6:BC6)/SUM(H5:BC5)</f>
        <v>#DIV/0!</v>
      </c>
      <c r="G5" s="91" t="s">
        <v>12</v>
      </c>
      <c r="H5" s="103">
        <f t="shared" ref="H5:K5" si="2">H7+H9+H11</f>
        <v>0</v>
      </c>
      <c r="I5" s="104">
        <f t="shared" si="2"/>
        <v>0</v>
      </c>
      <c r="J5" s="104">
        <f t="shared" si="2"/>
        <v>0</v>
      </c>
      <c r="K5" s="105">
        <f t="shared" si="2"/>
        <v>0</v>
      </c>
      <c r="L5" s="103">
        <f t="shared" ref="L5:BC6" si="3">L7+L9+L11</f>
        <v>0</v>
      </c>
      <c r="M5" s="104">
        <f t="shared" si="3"/>
        <v>0</v>
      </c>
      <c r="N5" s="104">
        <f t="shared" si="3"/>
        <v>0</v>
      </c>
      <c r="O5" s="105">
        <f t="shared" si="3"/>
        <v>0</v>
      </c>
      <c r="P5" s="103">
        <f t="shared" si="3"/>
        <v>0</v>
      </c>
      <c r="Q5" s="104">
        <f t="shared" si="3"/>
        <v>0</v>
      </c>
      <c r="R5" s="104">
        <f t="shared" si="3"/>
        <v>0</v>
      </c>
      <c r="S5" s="106">
        <f t="shared" si="3"/>
        <v>0</v>
      </c>
      <c r="T5" s="100">
        <f>T9+T11+T13</f>
        <v>0</v>
      </c>
      <c r="U5" s="101">
        <f t="shared" si="3"/>
        <v>0</v>
      </c>
      <c r="V5" s="101">
        <f t="shared" si="3"/>
        <v>0</v>
      </c>
      <c r="W5" s="102">
        <f t="shared" si="3"/>
        <v>0</v>
      </c>
      <c r="X5" s="100">
        <f t="shared" si="3"/>
        <v>0</v>
      </c>
      <c r="Y5" s="101">
        <f t="shared" si="3"/>
        <v>0</v>
      </c>
      <c r="Z5" s="101">
        <f t="shared" si="3"/>
        <v>0</v>
      </c>
      <c r="AA5" s="102">
        <f t="shared" si="3"/>
        <v>0</v>
      </c>
      <c r="AB5" s="100">
        <f t="shared" si="3"/>
        <v>0</v>
      </c>
      <c r="AC5" s="101">
        <f>AC7+AC9+AC11</f>
        <v>0</v>
      </c>
      <c r="AD5" s="101">
        <f t="shared" si="3"/>
        <v>0</v>
      </c>
      <c r="AE5" s="102">
        <f t="shared" si="3"/>
        <v>0</v>
      </c>
      <c r="AF5" s="100">
        <f t="shared" si="3"/>
        <v>0</v>
      </c>
      <c r="AG5" s="101">
        <f t="shared" si="3"/>
        <v>0</v>
      </c>
      <c r="AH5" s="101">
        <f t="shared" si="3"/>
        <v>0</v>
      </c>
      <c r="AI5" s="102">
        <f t="shared" si="3"/>
        <v>0</v>
      </c>
      <c r="AJ5" s="100">
        <f t="shared" si="3"/>
        <v>0</v>
      </c>
      <c r="AK5" s="101">
        <f t="shared" si="3"/>
        <v>0</v>
      </c>
      <c r="AL5" s="101">
        <f t="shared" si="3"/>
        <v>0</v>
      </c>
      <c r="AM5" s="102">
        <f t="shared" si="3"/>
        <v>0</v>
      </c>
      <c r="AN5" s="100">
        <f t="shared" si="3"/>
        <v>0</v>
      </c>
      <c r="AO5" s="101">
        <f t="shared" si="3"/>
        <v>0</v>
      </c>
      <c r="AP5" s="101">
        <f t="shared" si="3"/>
        <v>0</v>
      </c>
      <c r="AQ5" s="102">
        <f t="shared" si="3"/>
        <v>0</v>
      </c>
      <c r="AR5" s="100">
        <f t="shared" si="3"/>
        <v>0</v>
      </c>
      <c r="AS5" s="101">
        <f t="shared" si="3"/>
        <v>0</v>
      </c>
      <c r="AT5" s="101">
        <f t="shared" si="3"/>
        <v>0</v>
      </c>
      <c r="AU5" s="102">
        <f t="shared" si="3"/>
        <v>0</v>
      </c>
      <c r="AV5" s="100">
        <f t="shared" si="3"/>
        <v>0</v>
      </c>
      <c r="AW5" s="101">
        <f t="shared" si="3"/>
        <v>0</v>
      </c>
      <c r="AX5" s="101">
        <f t="shared" si="3"/>
        <v>0</v>
      </c>
      <c r="AY5" s="102">
        <f t="shared" si="3"/>
        <v>0</v>
      </c>
      <c r="AZ5" s="100">
        <f t="shared" si="3"/>
        <v>0</v>
      </c>
      <c r="BA5" s="101">
        <f t="shared" si="3"/>
        <v>0</v>
      </c>
      <c r="BB5" s="101">
        <f t="shared" si="3"/>
        <v>0</v>
      </c>
      <c r="BC5" s="102">
        <f t="shared" si="3"/>
        <v>0</v>
      </c>
      <c r="BD5" s="825"/>
    </row>
    <row r="6" spans="1:58" s="107" customFormat="1" ht="15.75" customHeight="1" thickBot="1" x14ac:dyDescent="0.3">
      <c r="A6" s="827"/>
      <c r="B6" s="830"/>
      <c r="C6" s="180"/>
      <c r="D6" s="832"/>
      <c r="E6" s="836"/>
      <c r="F6" s="838"/>
      <c r="G6" s="92" t="s">
        <v>11</v>
      </c>
      <c r="H6" s="96">
        <f t="shared" ref="H6:K6" si="4">H8+H10+H12</f>
        <v>0</v>
      </c>
      <c r="I6" s="97">
        <f t="shared" si="4"/>
        <v>0</v>
      </c>
      <c r="J6" s="97">
        <f t="shared" si="4"/>
        <v>0</v>
      </c>
      <c r="K6" s="95">
        <f t="shared" si="4"/>
        <v>0</v>
      </c>
      <c r="L6" s="96">
        <f t="shared" si="3"/>
        <v>0</v>
      </c>
      <c r="M6" s="97">
        <f t="shared" si="3"/>
        <v>0</v>
      </c>
      <c r="N6" s="97">
        <f t="shared" si="3"/>
        <v>0</v>
      </c>
      <c r="O6" s="95">
        <f t="shared" si="3"/>
        <v>0</v>
      </c>
      <c r="P6" s="96">
        <f t="shared" si="3"/>
        <v>0</v>
      </c>
      <c r="Q6" s="97">
        <f t="shared" si="3"/>
        <v>0</v>
      </c>
      <c r="R6" s="97">
        <f t="shared" si="3"/>
        <v>0</v>
      </c>
      <c r="S6" s="94">
        <f t="shared" si="3"/>
        <v>0</v>
      </c>
      <c r="T6" s="96">
        <f>T10+T12+T14</f>
        <v>0</v>
      </c>
      <c r="U6" s="97">
        <f t="shared" si="3"/>
        <v>0</v>
      </c>
      <c r="V6" s="97">
        <f t="shared" si="3"/>
        <v>0</v>
      </c>
      <c r="W6" s="95">
        <f t="shared" si="3"/>
        <v>0</v>
      </c>
      <c r="X6" s="96">
        <f t="shared" si="3"/>
        <v>0</v>
      </c>
      <c r="Y6" s="97">
        <f t="shared" si="3"/>
        <v>0</v>
      </c>
      <c r="Z6" s="97">
        <f t="shared" si="3"/>
        <v>0</v>
      </c>
      <c r="AA6" s="95">
        <f t="shared" si="3"/>
        <v>0</v>
      </c>
      <c r="AB6" s="96">
        <f t="shared" si="3"/>
        <v>0</v>
      </c>
      <c r="AC6" s="97">
        <f>AC8+AC10+AC12</f>
        <v>0</v>
      </c>
      <c r="AD6" s="97">
        <f t="shared" si="3"/>
        <v>0</v>
      </c>
      <c r="AE6" s="95">
        <f t="shared" si="3"/>
        <v>0</v>
      </c>
      <c r="AF6" s="96">
        <f t="shared" si="3"/>
        <v>0</v>
      </c>
      <c r="AG6" s="97">
        <f t="shared" si="3"/>
        <v>0</v>
      </c>
      <c r="AH6" s="97">
        <f t="shared" si="3"/>
        <v>0</v>
      </c>
      <c r="AI6" s="95">
        <f t="shared" si="3"/>
        <v>0</v>
      </c>
      <c r="AJ6" s="96">
        <f t="shared" si="3"/>
        <v>0</v>
      </c>
      <c r="AK6" s="97">
        <f t="shared" si="3"/>
        <v>0</v>
      </c>
      <c r="AL6" s="97">
        <f t="shared" si="3"/>
        <v>0</v>
      </c>
      <c r="AM6" s="95">
        <f t="shared" si="3"/>
        <v>0</v>
      </c>
      <c r="AN6" s="96">
        <f t="shared" si="3"/>
        <v>0</v>
      </c>
      <c r="AO6" s="97">
        <f t="shared" si="3"/>
        <v>0</v>
      </c>
      <c r="AP6" s="97">
        <f t="shared" si="3"/>
        <v>0</v>
      </c>
      <c r="AQ6" s="95">
        <f t="shared" si="3"/>
        <v>0</v>
      </c>
      <c r="AR6" s="96">
        <f t="shared" si="3"/>
        <v>0</v>
      </c>
      <c r="AS6" s="97">
        <f t="shared" si="3"/>
        <v>0</v>
      </c>
      <c r="AT6" s="97">
        <f t="shared" si="3"/>
        <v>0</v>
      </c>
      <c r="AU6" s="95">
        <f t="shared" si="3"/>
        <v>0</v>
      </c>
      <c r="AV6" s="96">
        <f t="shared" si="3"/>
        <v>0</v>
      </c>
      <c r="AW6" s="97">
        <f t="shared" si="3"/>
        <v>0</v>
      </c>
      <c r="AX6" s="97">
        <f t="shared" si="3"/>
        <v>0</v>
      </c>
      <c r="AY6" s="95">
        <f t="shared" si="3"/>
        <v>0</v>
      </c>
      <c r="AZ6" s="96">
        <f t="shared" si="3"/>
        <v>0</v>
      </c>
      <c r="BA6" s="97">
        <f t="shared" si="3"/>
        <v>0</v>
      </c>
      <c r="BB6" s="97">
        <f t="shared" si="3"/>
        <v>0</v>
      </c>
      <c r="BC6" s="95">
        <f t="shared" si="3"/>
        <v>0</v>
      </c>
      <c r="BD6" s="825"/>
    </row>
    <row r="7" spans="1:58" s="107" customFormat="1" ht="15" customHeight="1" x14ac:dyDescent="0.25">
      <c r="A7" s="827"/>
      <c r="B7" s="833" t="s">
        <v>27</v>
      </c>
      <c r="C7" s="179">
        <v>5</v>
      </c>
      <c r="D7" s="835" t="s">
        <v>228</v>
      </c>
      <c r="E7" s="835" t="s">
        <v>222</v>
      </c>
      <c r="F7" s="837" t="e">
        <f>SUM(H8:BC8)/SUM(H7:BC7)</f>
        <v>#DIV/0!</v>
      </c>
      <c r="G7" s="91" t="s">
        <v>12</v>
      </c>
      <c r="H7" s="103"/>
      <c r="I7" s="104"/>
      <c r="J7" s="104"/>
      <c r="K7" s="105"/>
      <c r="L7" s="103"/>
      <c r="M7" s="104"/>
      <c r="N7" s="104"/>
      <c r="O7" s="105"/>
      <c r="P7" s="103"/>
      <c r="Q7" s="104"/>
      <c r="R7" s="104"/>
      <c r="S7" s="106"/>
      <c r="T7" s="103"/>
      <c r="U7" s="101"/>
      <c r="V7" s="104"/>
      <c r="W7" s="102"/>
      <c r="X7" s="103"/>
      <c r="Y7" s="101"/>
      <c r="Z7" s="104"/>
      <c r="AA7" s="102"/>
      <c r="AB7" s="103"/>
      <c r="AC7" s="101"/>
      <c r="AD7" s="104"/>
      <c r="AE7" s="105"/>
      <c r="AF7" s="103"/>
      <c r="AG7" s="104"/>
      <c r="AH7" s="104"/>
      <c r="AI7" s="105"/>
      <c r="AJ7" s="103"/>
      <c r="AK7" s="104"/>
      <c r="AL7" s="104"/>
      <c r="AM7" s="105"/>
      <c r="AN7" s="103"/>
      <c r="AO7" s="104"/>
      <c r="AP7" s="104"/>
      <c r="AQ7" s="105"/>
      <c r="AR7" s="103"/>
      <c r="AS7" s="104"/>
      <c r="AT7" s="104"/>
      <c r="AU7" s="105"/>
      <c r="AV7" s="103"/>
      <c r="AW7" s="104"/>
      <c r="AX7" s="104"/>
      <c r="AY7" s="105"/>
      <c r="AZ7" s="103"/>
      <c r="BA7" s="104"/>
      <c r="BB7" s="104"/>
      <c r="BC7" s="105"/>
      <c r="BD7" s="825"/>
    </row>
    <row r="8" spans="1:58" s="107" customFormat="1" ht="15.75" customHeight="1" thickBot="1" x14ac:dyDescent="0.3">
      <c r="A8" s="827"/>
      <c r="B8" s="834"/>
      <c r="C8" s="166"/>
      <c r="D8" s="836"/>
      <c r="E8" s="836"/>
      <c r="F8" s="838"/>
      <c r="G8" s="92" t="s">
        <v>11</v>
      </c>
      <c r="H8" s="96"/>
      <c r="I8" s="97"/>
      <c r="J8" s="97"/>
      <c r="K8" s="95"/>
      <c r="L8" s="96"/>
      <c r="M8" s="97"/>
      <c r="N8" s="97"/>
      <c r="O8" s="95"/>
      <c r="P8" s="96"/>
      <c r="Q8" s="97"/>
      <c r="R8" s="97"/>
      <c r="S8" s="94"/>
      <c r="T8" s="96"/>
      <c r="U8" s="97"/>
      <c r="V8" s="97"/>
      <c r="W8" s="95"/>
      <c r="X8" s="96"/>
      <c r="Y8" s="97"/>
      <c r="Z8" s="97"/>
      <c r="AA8" s="95"/>
      <c r="AB8" s="96"/>
      <c r="AC8" s="97"/>
      <c r="AD8" s="97"/>
      <c r="AE8" s="95"/>
      <c r="AF8" s="96"/>
      <c r="AG8" s="97"/>
      <c r="AH8" s="97"/>
      <c r="AI8" s="95"/>
      <c r="AJ8" s="96"/>
      <c r="AK8" s="97"/>
      <c r="AL8" s="97"/>
      <c r="AM8" s="95"/>
      <c r="AN8" s="96"/>
      <c r="AO8" s="97"/>
      <c r="AP8" s="97"/>
      <c r="AQ8" s="95"/>
      <c r="AR8" s="96"/>
      <c r="AS8" s="97"/>
      <c r="AT8" s="97"/>
      <c r="AU8" s="95"/>
      <c r="AV8" s="96"/>
      <c r="AW8" s="97"/>
      <c r="AX8" s="97"/>
      <c r="AY8" s="95"/>
      <c r="AZ8" s="96"/>
      <c r="BA8" s="97"/>
      <c r="BB8" s="97"/>
      <c r="BC8" s="95"/>
      <c r="BD8" s="825"/>
    </row>
    <row r="9" spans="1:58" s="107" customFormat="1" ht="15" customHeight="1" x14ac:dyDescent="0.25">
      <c r="A9" s="827"/>
      <c r="B9" s="833" t="s">
        <v>172</v>
      </c>
      <c r="C9" s="165">
        <v>5</v>
      </c>
      <c r="D9" s="835" t="s">
        <v>228</v>
      </c>
      <c r="E9" s="835" t="s">
        <v>222</v>
      </c>
      <c r="F9" s="837" t="e">
        <f>SUM(H10:BC10)/SUM(H9:BC9)</f>
        <v>#DIV/0!</v>
      </c>
      <c r="G9" s="91" t="s">
        <v>12</v>
      </c>
      <c r="H9" s="103"/>
      <c r="I9" s="104"/>
      <c r="J9" s="104"/>
      <c r="K9" s="105"/>
      <c r="L9" s="103"/>
      <c r="M9" s="104"/>
      <c r="N9" s="104"/>
      <c r="O9" s="105"/>
      <c r="P9" s="103"/>
      <c r="Q9" s="104"/>
      <c r="R9" s="104"/>
      <c r="S9" s="106"/>
      <c r="T9" s="103"/>
      <c r="U9" s="104"/>
      <c r="V9" s="104"/>
      <c r="W9" s="102"/>
      <c r="X9" s="103"/>
      <c r="Y9" s="104"/>
      <c r="Z9" s="104"/>
      <c r="AA9" s="105"/>
      <c r="AB9" s="103"/>
      <c r="AC9" s="104"/>
      <c r="AD9" s="104"/>
      <c r="AE9" s="105"/>
      <c r="AF9" s="103"/>
      <c r="AG9" s="104"/>
      <c r="AH9" s="104"/>
      <c r="AI9" s="105"/>
      <c r="AJ9" s="103"/>
      <c r="AK9" s="104"/>
      <c r="AL9" s="104"/>
      <c r="AM9" s="105"/>
      <c r="AN9" s="103"/>
      <c r="AO9" s="104"/>
      <c r="AP9" s="104"/>
      <c r="AQ9" s="105"/>
      <c r="AR9" s="103"/>
      <c r="AS9" s="104"/>
      <c r="AT9" s="104"/>
      <c r="AU9" s="105"/>
      <c r="AV9" s="103"/>
      <c r="AW9" s="104"/>
      <c r="AX9" s="104"/>
      <c r="AY9" s="105"/>
      <c r="AZ9" s="103"/>
      <c r="BA9" s="104"/>
      <c r="BB9" s="104"/>
      <c r="BC9" s="105"/>
      <c r="BD9" s="825"/>
    </row>
    <row r="10" spans="1:58" s="107" customFormat="1" ht="16.5" thickBot="1" x14ac:dyDescent="0.3">
      <c r="A10" s="827"/>
      <c r="B10" s="834"/>
      <c r="C10" s="166"/>
      <c r="D10" s="836"/>
      <c r="E10" s="836"/>
      <c r="F10" s="838"/>
      <c r="G10" s="92" t="s">
        <v>11</v>
      </c>
      <c r="H10" s="96"/>
      <c r="I10" s="97"/>
      <c r="J10" s="97"/>
      <c r="K10" s="95"/>
      <c r="L10" s="96"/>
      <c r="M10" s="97"/>
      <c r="N10" s="97"/>
      <c r="O10" s="95"/>
      <c r="P10" s="96"/>
      <c r="Q10" s="97"/>
      <c r="R10" s="97"/>
      <c r="S10" s="94"/>
      <c r="T10" s="96"/>
      <c r="U10" s="97"/>
      <c r="V10" s="97"/>
      <c r="W10" s="95"/>
      <c r="X10" s="96"/>
      <c r="Y10" s="97"/>
      <c r="Z10" s="97"/>
      <c r="AA10" s="95"/>
      <c r="AB10" s="96"/>
      <c r="AC10" s="97"/>
      <c r="AD10" s="97"/>
      <c r="AE10" s="95"/>
      <c r="AF10" s="96"/>
      <c r="AG10" s="97"/>
      <c r="AH10" s="97"/>
      <c r="AI10" s="95"/>
      <c r="AJ10" s="96"/>
      <c r="AK10" s="97"/>
      <c r="AL10" s="97"/>
      <c r="AM10" s="95"/>
      <c r="AN10" s="96"/>
      <c r="AO10" s="97"/>
      <c r="AP10" s="97"/>
      <c r="AQ10" s="95"/>
      <c r="AR10" s="96"/>
      <c r="AS10" s="97"/>
      <c r="AT10" s="97"/>
      <c r="AU10" s="95"/>
      <c r="AV10" s="96"/>
      <c r="AW10" s="97"/>
      <c r="AX10" s="97"/>
      <c r="AY10" s="95"/>
      <c r="AZ10" s="96"/>
      <c r="BA10" s="97"/>
      <c r="BB10" s="97"/>
      <c r="BC10" s="95"/>
      <c r="BD10" s="825"/>
    </row>
    <row r="11" spans="1:58" s="107" customFormat="1" ht="15" customHeight="1" x14ac:dyDescent="0.25">
      <c r="A11" s="827"/>
      <c r="B11" s="833" t="s">
        <v>173</v>
      </c>
      <c r="C11" s="165">
        <v>4</v>
      </c>
      <c r="D11" s="835" t="s">
        <v>226</v>
      </c>
      <c r="E11" s="835" t="s">
        <v>222</v>
      </c>
      <c r="F11" s="837" t="e">
        <f>SUM(H12:BC12)/SUM(H11:BC11)</f>
        <v>#DIV/0!</v>
      </c>
      <c r="G11" s="91" t="s">
        <v>12</v>
      </c>
      <c r="H11" s="103"/>
      <c r="I11" s="104"/>
      <c r="J11" s="104"/>
      <c r="K11" s="105"/>
      <c r="L11" s="103"/>
      <c r="M11" s="104"/>
      <c r="N11" s="104"/>
      <c r="O11" s="105"/>
      <c r="P11" s="103"/>
      <c r="Q11" s="104"/>
      <c r="R11" s="104"/>
      <c r="S11" s="106"/>
      <c r="T11" s="103"/>
      <c r="U11" s="104"/>
      <c r="V11" s="104"/>
      <c r="W11" s="102"/>
      <c r="X11" s="103"/>
      <c r="Y11" s="104"/>
      <c r="Z11" s="104"/>
      <c r="AA11" s="105"/>
      <c r="AB11" s="103"/>
      <c r="AC11" s="104"/>
      <c r="AD11" s="104"/>
      <c r="AE11" s="105"/>
      <c r="AF11" s="103"/>
      <c r="AG11" s="104"/>
      <c r="AH11" s="104"/>
      <c r="AI11" s="105"/>
      <c r="AJ11" s="103"/>
      <c r="AK11" s="104"/>
      <c r="AL11" s="104"/>
      <c r="AM11" s="105"/>
      <c r="AN11" s="103"/>
      <c r="AO11" s="104"/>
      <c r="AP11" s="104"/>
      <c r="AQ11" s="105"/>
      <c r="AR11" s="103"/>
      <c r="AS11" s="104"/>
      <c r="AT11" s="104"/>
      <c r="AU11" s="105"/>
      <c r="AV11" s="103"/>
      <c r="AW11" s="104"/>
      <c r="AX11" s="104"/>
      <c r="AY11" s="105"/>
      <c r="AZ11" s="103"/>
      <c r="BA11" s="104"/>
      <c r="BB11" s="104"/>
      <c r="BC11" s="105"/>
      <c r="BD11" s="825"/>
    </row>
    <row r="12" spans="1:58" s="107" customFormat="1" ht="20.25" customHeight="1" thickBot="1" x14ac:dyDescent="0.3">
      <c r="A12" s="828"/>
      <c r="B12" s="834"/>
      <c r="C12" s="179"/>
      <c r="D12" s="836"/>
      <c r="E12" s="836"/>
      <c r="F12" s="838"/>
      <c r="G12" s="92" t="s">
        <v>11</v>
      </c>
      <c r="H12" s="96"/>
      <c r="I12" s="97"/>
      <c r="J12" s="97"/>
      <c r="K12" s="95"/>
      <c r="L12" s="96"/>
      <c r="M12" s="97"/>
      <c r="N12" s="97"/>
      <c r="O12" s="95"/>
      <c r="P12" s="96"/>
      <c r="Q12" s="97"/>
      <c r="R12" s="97"/>
      <c r="S12" s="94"/>
      <c r="T12" s="96"/>
      <c r="U12" s="97"/>
      <c r="V12" s="97"/>
      <c r="W12" s="95"/>
      <c r="X12" s="96"/>
      <c r="Y12" s="97"/>
      <c r="Z12" s="97"/>
      <c r="AA12" s="95"/>
      <c r="AB12" s="96"/>
      <c r="AC12" s="97"/>
      <c r="AD12" s="97"/>
      <c r="AE12" s="95"/>
      <c r="AF12" s="96"/>
      <c r="AG12" s="97"/>
      <c r="AH12" s="97"/>
      <c r="AI12" s="95"/>
      <c r="AJ12" s="96"/>
      <c r="AK12" s="97"/>
      <c r="AL12" s="97"/>
      <c r="AM12" s="95"/>
      <c r="AN12" s="96"/>
      <c r="AO12" s="97"/>
      <c r="AP12" s="97"/>
      <c r="AQ12" s="95"/>
      <c r="AR12" s="96"/>
      <c r="AS12" s="97"/>
      <c r="AT12" s="97"/>
      <c r="AU12" s="95"/>
      <c r="AV12" s="96"/>
      <c r="AW12" s="97"/>
      <c r="AX12" s="97"/>
      <c r="AY12" s="95"/>
      <c r="AZ12" s="96"/>
      <c r="BA12" s="97"/>
      <c r="BB12" s="97"/>
      <c r="BC12" s="95"/>
      <c r="BD12" s="825"/>
    </row>
    <row r="13" spans="1:58" s="107" customFormat="1" ht="15" customHeight="1" x14ac:dyDescent="0.25">
      <c r="A13" s="826">
        <v>1.2</v>
      </c>
      <c r="B13" s="829" t="s">
        <v>4</v>
      </c>
      <c r="C13" s="180">
        <v>2</v>
      </c>
      <c r="D13" s="831" t="s">
        <v>229</v>
      </c>
      <c r="E13" s="835" t="s">
        <v>230</v>
      </c>
      <c r="F13" s="837">
        <f>SUM(H14:BC14)/SUM(H13:BC13)</f>
        <v>0</v>
      </c>
      <c r="G13" s="91" t="s">
        <v>12</v>
      </c>
      <c r="H13" s="100">
        <v>0</v>
      </c>
      <c r="I13" s="101">
        <f t="shared" ref="I13:BC14" si="5">SUM(I15,I17,I19,I21,I23)</f>
        <v>0</v>
      </c>
      <c r="J13" s="101">
        <f t="shared" si="5"/>
        <v>0</v>
      </c>
      <c r="K13" s="102">
        <f t="shared" si="5"/>
        <v>0</v>
      </c>
      <c r="L13" s="103">
        <f t="shared" si="5"/>
        <v>0</v>
      </c>
      <c r="M13" s="104">
        <f t="shared" si="5"/>
        <v>0</v>
      </c>
      <c r="N13" s="104">
        <f t="shared" si="5"/>
        <v>0</v>
      </c>
      <c r="O13" s="105">
        <f t="shared" si="5"/>
        <v>0</v>
      </c>
      <c r="P13" s="103">
        <f t="shared" si="5"/>
        <v>0</v>
      </c>
      <c r="Q13" s="104">
        <f t="shared" si="5"/>
        <v>0</v>
      </c>
      <c r="R13" s="104">
        <f t="shared" si="5"/>
        <v>0</v>
      </c>
      <c r="S13" s="106">
        <f t="shared" si="5"/>
        <v>0</v>
      </c>
      <c r="T13" s="106">
        <f t="shared" ref="T13" si="6">SUM(T15,T17,T19,T21,T23)</f>
        <v>0</v>
      </c>
      <c r="U13" s="106">
        <f t="shared" si="5"/>
        <v>0</v>
      </c>
      <c r="V13" s="104">
        <f t="shared" si="5"/>
        <v>0</v>
      </c>
      <c r="W13" s="102">
        <f t="shared" si="5"/>
        <v>0</v>
      </c>
      <c r="X13" s="103">
        <f t="shared" si="5"/>
        <v>0</v>
      </c>
      <c r="Y13" s="104">
        <f t="shared" si="5"/>
        <v>0</v>
      </c>
      <c r="Z13" s="104">
        <f t="shared" si="5"/>
        <v>0</v>
      </c>
      <c r="AA13" s="105">
        <f t="shared" si="5"/>
        <v>0</v>
      </c>
      <c r="AB13" s="103">
        <f t="shared" si="5"/>
        <v>0</v>
      </c>
      <c r="AC13" s="104">
        <v>0</v>
      </c>
      <c r="AD13" s="104">
        <v>1</v>
      </c>
      <c r="AE13" s="105">
        <f t="shared" si="5"/>
        <v>0</v>
      </c>
      <c r="AF13" s="103">
        <f t="shared" si="5"/>
        <v>0</v>
      </c>
      <c r="AG13" s="104">
        <f t="shared" si="5"/>
        <v>0</v>
      </c>
      <c r="AH13" s="104">
        <f t="shared" si="5"/>
        <v>0</v>
      </c>
      <c r="AI13" s="105">
        <f t="shared" si="5"/>
        <v>0</v>
      </c>
      <c r="AJ13" s="103">
        <f t="shared" si="5"/>
        <v>0</v>
      </c>
      <c r="AK13" s="104">
        <f t="shared" si="5"/>
        <v>0</v>
      </c>
      <c r="AL13" s="104">
        <f t="shared" si="5"/>
        <v>0</v>
      </c>
      <c r="AM13" s="105">
        <f t="shared" si="5"/>
        <v>0</v>
      </c>
      <c r="AN13" s="103">
        <f t="shared" si="5"/>
        <v>0</v>
      </c>
      <c r="AO13" s="104">
        <f t="shared" si="5"/>
        <v>0</v>
      </c>
      <c r="AP13" s="104">
        <f t="shared" si="5"/>
        <v>0</v>
      </c>
      <c r="AQ13" s="105">
        <f t="shared" si="5"/>
        <v>0</v>
      </c>
      <c r="AR13" s="103">
        <f t="shared" si="5"/>
        <v>0</v>
      </c>
      <c r="AS13" s="104">
        <f t="shared" si="5"/>
        <v>0</v>
      </c>
      <c r="AT13" s="104">
        <f t="shared" si="5"/>
        <v>0</v>
      </c>
      <c r="AU13" s="105">
        <f t="shared" si="5"/>
        <v>0</v>
      </c>
      <c r="AV13" s="103">
        <f t="shared" si="5"/>
        <v>0</v>
      </c>
      <c r="AW13" s="104">
        <f t="shared" si="5"/>
        <v>0</v>
      </c>
      <c r="AX13" s="104">
        <f t="shared" si="5"/>
        <v>0</v>
      </c>
      <c r="AY13" s="105">
        <f t="shared" si="5"/>
        <v>0</v>
      </c>
      <c r="AZ13" s="103">
        <f t="shared" si="5"/>
        <v>0</v>
      </c>
      <c r="BA13" s="104">
        <f t="shared" si="5"/>
        <v>0</v>
      </c>
      <c r="BB13" s="104">
        <f t="shared" si="5"/>
        <v>0</v>
      </c>
      <c r="BC13" s="105">
        <f t="shared" si="5"/>
        <v>0</v>
      </c>
      <c r="BD13" s="825"/>
    </row>
    <row r="14" spans="1:58" s="107" customFormat="1" ht="15.75" customHeight="1" thickBot="1" x14ac:dyDescent="0.3">
      <c r="A14" s="827"/>
      <c r="B14" s="839"/>
      <c r="C14" s="164"/>
      <c r="D14" s="836"/>
      <c r="E14" s="836"/>
      <c r="F14" s="838"/>
      <c r="G14" s="92" t="s">
        <v>11</v>
      </c>
      <c r="H14" s="96">
        <f>SUM(H16,H18,H20,H22,H24)</f>
        <v>0</v>
      </c>
      <c r="I14" s="97">
        <f t="shared" si="5"/>
        <v>0</v>
      </c>
      <c r="J14" s="97">
        <f t="shared" si="5"/>
        <v>0</v>
      </c>
      <c r="K14" s="95">
        <f t="shared" si="5"/>
        <v>0</v>
      </c>
      <c r="L14" s="96">
        <f t="shared" si="5"/>
        <v>0</v>
      </c>
      <c r="M14" s="97">
        <f t="shared" si="5"/>
        <v>0</v>
      </c>
      <c r="N14" s="97">
        <f t="shared" si="5"/>
        <v>0</v>
      </c>
      <c r="O14" s="95">
        <f t="shared" si="5"/>
        <v>0</v>
      </c>
      <c r="P14" s="96">
        <f t="shared" si="5"/>
        <v>0</v>
      </c>
      <c r="Q14" s="97">
        <f t="shared" si="5"/>
        <v>0</v>
      </c>
      <c r="R14" s="97">
        <f t="shared" si="5"/>
        <v>0</v>
      </c>
      <c r="S14" s="94">
        <f t="shared" si="5"/>
        <v>0</v>
      </c>
      <c r="T14" s="94">
        <f t="shared" ref="T14" si="7">SUM(T16,T18,T20,T22,T24)</f>
        <v>0</v>
      </c>
      <c r="U14" s="94">
        <f t="shared" si="5"/>
        <v>0</v>
      </c>
      <c r="V14" s="97">
        <f t="shared" si="5"/>
        <v>0</v>
      </c>
      <c r="W14" s="95">
        <f t="shared" si="5"/>
        <v>0</v>
      </c>
      <c r="X14" s="96">
        <f t="shared" si="5"/>
        <v>0</v>
      </c>
      <c r="Y14" s="97">
        <f t="shared" si="5"/>
        <v>0</v>
      </c>
      <c r="Z14" s="97">
        <f t="shared" si="5"/>
        <v>0</v>
      </c>
      <c r="AA14" s="95">
        <f t="shared" si="5"/>
        <v>0</v>
      </c>
      <c r="AB14" s="96">
        <f t="shared" si="5"/>
        <v>0</v>
      </c>
      <c r="AC14" s="97">
        <v>0</v>
      </c>
      <c r="AD14" s="97">
        <v>0</v>
      </c>
      <c r="AE14" s="95">
        <f t="shared" si="5"/>
        <v>0</v>
      </c>
      <c r="AF14" s="96">
        <f t="shared" si="5"/>
        <v>0</v>
      </c>
      <c r="AG14" s="97">
        <f t="shared" si="5"/>
        <v>0</v>
      </c>
      <c r="AH14" s="97">
        <f t="shared" si="5"/>
        <v>0</v>
      </c>
      <c r="AI14" s="95">
        <f t="shared" si="5"/>
        <v>0</v>
      </c>
      <c r="AJ14" s="96">
        <f t="shared" si="5"/>
        <v>0</v>
      </c>
      <c r="AK14" s="97">
        <f t="shared" si="5"/>
        <v>0</v>
      </c>
      <c r="AL14" s="97">
        <f t="shared" si="5"/>
        <v>0</v>
      </c>
      <c r="AM14" s="95">
        <f t="shared" si="5"/>
        <v>0</v>
      </c>
      <c r="AN14" s="96">
        <f t="shared" si="5"/>
        <v>0</v>
      </c>
      <c r="AO14" s="97">
        <f t="shared" si="5"/>
        <v>0</v>
      </c>
      <c r="AP14" s="97">
        <f t="shared" si="5"/>
        <v>0</v>
      </c>
      <c r="AQ14" s="95">
        <f t="shared" si="5"/>
        <v>0</v>
      </c>
      <c r="AR14" s="96">
        <f t="shared" si="5"/>
        <v>0</v>
      </c>
      <c r="AS14" s="97">
        <f t="shared" si="5"/>
        <v>0</v>
      </c>
      <c r="AT14" s="97">
        <f t="shared" si="5"/>
        <v>0</v>
      </c>
      <c r="AU14" s="95">
        <f t="shared" si="5"/>
        <v>0</v>
      </c>
      <c r="AV14" s="96">
        <f t="shared" si="5"/>
        <v>0</v>
      </c>
      <c r="AW14" s="97">
        <f t="shared" si="5"/>
        <v>0</v>
      </c>
      <c r="AX14" s="97">
        <f t="shared" si="5"/>
        <v>0</v>
      </c>
      <c r="AY14" s="95">
        <f t="shared" si="5"/>
        <v>0</v>
      </c>
      <c r="AZ14" s="96">
        <f t="shared" si="5"/>
        <v>0</v>
      </c>
      <c r="BA14" s="97">
        <f t="shared" si="5"/>
        <v>0</v>
      </c>
      <c r="BB14" s="97">
        <f t="shared" si="5"/>
        <v>0</v>
      </c>
      <c r="BC14" s="95">
        <f t="shared" si="5"/>
        <v>0</v>
      </c>
      <c r="BD14" s="825"/>
    </row>
    <row r="15" spans="1:58" s="107" customFormat="1" ht="15" customHeight="1" x14ac:dyDescent="0.25">
      <c r="A15" s="827"/>
      <c r="B15" s="840" t="s">
        <v>157</v>
      </c>
      <c r="C15" s="167">
        <v>1</v>
      </c>
      <c r="D15" s="835" t="s">
        <v>226</v>
      </c>
      <c r="E15" s="835"/>
      <c r="F15" s="837" t="e">
        <f>SUM(H16:BC16)/SUM(H15:BC15)</f>
        <v>#DIV/0!</v>
      </c>
      <c r="G15" s="91" t="s">
        <v>12</v>
      </c>
      <c r="H15" s="103"/>
      <c r="I15" s="104"/>
      <c r="J15" s="104"/>
      <c r="K15" s="105"/>
      <c r="L15" s="103"/>
      <c r="M15" s="104"/>
      <c r="N15" s="104"/>
      <c r="O15" s="105"/>
      <c r="P15" s="103"/>
      <c r="Q15" s="104"/>
      <c r="R15" s="104"/>
      <c r="S15" s="105"/>
      <c r="T15" s="103"/>
      <c r="U15" s="104"/>
      <c r="V15" s="104"/>
      <c r="W15" s="102"/>
      <c r="X15" s="103"/>
      <c r="Y15" s="104"/>
      <c r="Z15" s="104"/>
      <c r="AA15" s="105"/>
      <c r="AB15" s="103"/>
      <c r="AC15" s="104"/>
      <c r="AD15" s="104"/>
      <c r="AE15" s="105"/>
      <c r="AF15" s="103"/>
      <c r="AG15" s="104"/>
      <c r="AH15" s="104"/>
      <c r="AI15" s="105"/>
      <c r="AJ15" s="103"/>
      <c r="AK15" s="104"/>
      <c r="AL15" s="104"/>
      <c r="AM15" s="105"/>
      <c r="AN15" s="103"/>
      <c r="AO15" s="104"/>
      <c r="AP15" s="104"/>
      <c r="AQ15" s="105"/>
      <c r="AR15" s="103"/>
      <c r="AS15" s="104"/>
      <c r="AT15" s="104"/>
      <c r="AU15" s="105"/>
      <c r="AV15" s="103"/>
      <c r="AW15" s="104"/>
      <c r="AX15" s="104"/>
      <c r="AY15" s="105"/>
      <c r="AZ15" s="103"/>
      <c r="BA15" s="104"/>
      <c r="BB15" s="104"/>
      <c r="BC15" s="105"/>
      <c r="BD15" s="825"/>
    </row>
    <row r="16" spans="1:58" s="107" customFormat="1" ht="15.75" customHeight="1" thickBot="1" x14ac:dyDescent="0.3">
      <c r="A16" s="827"/>
      <c r="B16" s="841"/>
      <c r="C16" s="168"/>
      <c r="D16" s="836"/>
      <c r="E16" s="836"/>
      <c r="F16" s="838"/>
      <c r="G16" s="92" t="s">
        <v>11</v>
      </c>
      <c r="H16" s="96"/>
      <c r="I16" s="97"/>
      <c r="J16" s="97"/>
      <c r="K16" s="95"/>
      <c r="L16" s="96"/>
      <c r="M16" s="97"/>
      <c r="N16" s="97"/>
      <c r="O16" s="95"/>
      <c r="P16" s="96"/>
      <c r="Q16" s="97"/>
      <c r="R16" s="97"/>
      <c r="S16" s="95"/>
      <c r="T16" s="96"/>
      <c r="U16" s="97"/>
      <c r="V16" s="97"/>
      <c r="W16" s="95"/>
      <c r="X16" s="96"/>
      <c r="Y16" s="97"/>
      <c r="Z16" s="97"/>
      <c r="AA16" s="95"/>
      <c r="AB16" s="96"/>
      <c r="AC16" s="97"/>
      <c r="AD16" s="97"/>
      <c r="AE16" s="95"/>
      <c r="AF16" s="96"/>
      <c r="AG16" s="97"/>
      <c r="AH16" s="97"/>
      <c r="AI16" s="95"/>
      <c r="AJ16" s="96"/>
      <c r="AK16" s="97"/>
      <c r="AL16" s="97"/>
      <c r="AM16" s="95"/>
      <c r="AN16" s="96"/>
      <c r="AO16" s="97"/>
      <c r="AP16" s="97"/>
      <c r="AQ16" s="95"/>
      <c r="AR16" s="96"/>
      <c r="AS16" s="97"/>
      <c r="AT16" s="97"/>
      <c r="AU16" s="95"/>
      <c r="AV16" s="96"/>
      <c r="AW16" s="97"/>
      <c r="AX16" s="97"/>
      <c r="AY16" s="95"/>
      <c r="AZ16" s="96"/>
      <c r="BA16" s="97"/>
      <c r="BB16" s="97"/>
      <c r="BC16" s="95"/>
      <c r="BD16" s="825"/>
    </row>
    <row r="17" spans="1:56" s="107" customFormat="1" ht="15" customHeight="1" x14ac:dyDescent="0.25">
      <c r="A17" s="827"/>
      <c r="B17" s="840" t="s">
        <v>158</v>
      </c>
      <c r="C17" s="167">
        <v>2</v>
      </c>
      <c r="D17" s="835" t="s">
        <v>227</v>
      </c>
      <c r="E17" s="835"/>
      <c r="F17" s="837" t="e">
        <f>SUM(H18:BC18)/SUM(H17:BC17)</f>
        <v>#DIV/0!</v>
      </c>
      <c r="G17" s="91" t="s">
        <v>12</v>
      </c>
      <c r="H17" s="103"/>
      <c r="I17" s="104"/>
      <c r="J17" s="104"/>
      <c r="K17" s="105"/>
      <c r="L17" s="103"/>
      <c r="M17" s="104"/>
      <c r="N17" s="104"/>
      <c r="O17" s="105"/>
      <c r="P17" s="103"/>
      <c r="Q17" s="104"/>
      <c r="R17" s="104"/>
      <c r="S17" s="106"/>
      <c r="T17" s="103"/>
      <c r="U17" s="104"/>
      <c r="V17" s="104"/>
      <c r="W17" s="105"/>
      <c r="X17" s="103"/>
      <c r="Y17" s="104"/>
      <c r="Z17" s="104"/>
      <c r="AA17" s="105"/>
      <c r="AB17" s="103"/>
      <c r="AC17" s="104"/>
      <c r="AD17" s="104"/>
      <c r="AE17" s="106"/>
      <c r="AF17" s="103"/>
      <c r="AG17" s="104"/>
      <c r="AH17" s="104"/>
      <c r="AI17" s="105"/>
      <c r="AJ17" s="103"/>
      <c r="AK17" s="104"/>
      <c r="AL17" s="104"/>
      <c r="AM17" s="105"/>
      <c r="AN17" s="103"/>
      <c r="AO17" s="104"/>
      <c r="AP17" s="104"/>
      <c r="AQ17" s="106"/>
      <c r="AR17" s="103"/>
      <c r="AS17" s="104"/>
      <c r="AT17" s="104"/>
      <c r="AU17" s="105"/>
      <c r="AV17" s="103"/>
      <c r="AW17" s="104"/>
      <c r="AX17" s="104"/>
      <c r="AY17" s="105"/>
      <c r="AZ17" s="103"/>
      <c r="BA17" s="104"/>
      <c r="BB17" s="104"/>
      <c r="BC17" s="106"/>
      <c r="BD17" s="825"/>
    </row>
    <row r="18" spans="1:56" s="107" customFormat="1" ht="15.75" customHeight="1" thickBot="1" x14ac:dyDescent="0.3">
      <c r="A18" s="827"/>
      <c r="B18" s="841"/>
      <c r="C18" s="168"/>
      <c r="D18" s="836"/>
      <c r="E18" s="836"/>
      <c r="F18" s="838"/>
      <c r="G18" s="92" t="s">
        <v>11</v>
      </c>
      <c r="H18" s="96"/>
      <c r="I18" s="97"/>
      <c r="J18" s="97"/>
      <c r="K18" s="95"/>
      <c r="L18" s="96"/>
      <c r="M18" s="97"/>
      <c r="N18" s="97"/>
      <c r="O18" s="95"/>
      <c r="P18" s="96"/>
      <c r="Q18" s="97"/>
      <c r="R18" s="97"/>
      <c r="S18" s="94"/>
      <c r="T18" s="96"/>
      <c r="U18" s="97"/>
      <c r="V18" s="97"/>
      <c r="W18" s="95"/>
      <c r="X18" s="96"/>
      <c r="Y18" s="97"/>
      <c r="Z18" s="97"/>
      <c r="AA18" s="95"/>
      <c r="AB18" s="96"/>
      <c r="AC18" s="97"/>
      <c r="AD18" s="97"/>
      <c r="AE18" s="94"/>
      <c r="AF18" s="96"/>
      <c r="AG18" s="97"/>
      <c r="AH18" s="97"/>
      <c r="AI18" s="95"/>
      <c r="AJ18" s="96"/>
      <c r="AK18" s="97"/>
      <c r="AL18" s="97"/>
      <c r="AM18" s="95"/>
      <c r="AN18" s="96"/>
      <c r="AO18" s="97"/>
      <c r="AP18" s="97"/>
      <c r="AQ18" s="94"/>
      <c r="AR18" s="96"/>
      <c r="AS18" s="97"/>
      <c r="AT18" s="97"/>
      <c r="AU18" s="95"/>
      <c r="AV18" s="96"/>
      <c r="AW18" s="97"/>
      <c r="AX18" s="97"/>
      <c r="AY18" s="95"/>
      <c r="AZ18" s="96"/>
      <c r="BA18" s="97"/>
      <c r="BB18" s="97"/>
      <c r="BC18" s="94"/>
      <c r="BD18" s="825"/>
    </row>
    <row r="19" spans="1:56" s="107" customFormat="1" ht="15" customHeight="1" x14ac:dyDescent="0.25">
      <c r="A19" s="827"/>
      <c r="B19" s="840" t="s">
        <v>159</v>
      </c>
      <c r="C19" s="167">
        <v>2</v>
      </c>
      <c r="D19" s="835" t="s">
        <v>228</v>
      </c>
      <c r="E19" s="835"/>
      <c r="F19" s="837" t="e">
        <f>SUM(H20:BC20)/SUM(H19:BC19)</f>
        <v>#DIV/0!</v>
      </c>
      <c r="G19" s="91" t="s">
        <v>12</v>
      </c>
      <c r="H19" s="103"/>
      <c r="I19" s="104"/>
      <c r="J19" s="104"/>
      <c r="K19" s="105"/>
      <c r="L19" s="103"/>
      <c r="M19" s="104"/>
      <c r="N19" s="104"/>
      <c r="O19" s="105"/>
      <c r="P19" s="103"/>
      <c r="Q19" s="104"/>
      <c r="R19" s="104"/>
      <c r="S19" s="106"/>
      <c r="T19" s="103"/>
      <c r="U19" s="104"/>
      <c r="V19" s="104"/>
      <c r="W19" s="105"/>
      <c r="X19" s="103"/>
      <c r="Y19" s="104"/>
      <c r="Z19" s="104"/>
      <c r="AA19" s="105"/>
      <c r="AB19" s="103"/>
      <c r="AC19" s="104"/>
      <c r="AD19" s="104"/>
      <c r="AE19" s="106"/>
      <c r="AF19" s="103"/>
      <c r="AG19" s="104"/>
      <c r="AH19" s="104"/>
      <c r="AI19" s="105"/>
      <c r="AJ19" s="103"/>
      <c r="AK19" s="104"/>
      <c r="AL19" s="104"/>
      <c r="AM19" s="105"/>
      <c r="AN19" s="103"/>
      <c r="AO19" s="104"/>
      <c r="AP19" s="104"/>
      <c r="AQ19" s="106"/>
      <c r="AR19" s="103"/>
      <c r="AS19" s="104"/>
      <c r="AT19" s="104"/>
      <c r="AU19" s="105"/>
      <c r="AV19" s="103"/>
      <c r="AW19" s="104"/>
      <c r="AX19" s="104"/>
      <c r="AY19" s="105"/>
      <c r="AZ19" s="103"/>
      <c r="BA19" s="104"/>
      <c r="BB19" s="104"/>
      <c r="BC19" s="106"/>
      <c r="BD19" s="825"/>
    </row>
    <row r="20" spans="1:56" s="107" customFormat="1" ht="20.25" customHeight="1" thickBot="1" x14ac:dyDescent="0.3">
      <c r="A20" s="827"/>
      <c r="B20" s="841"/>
      <c r="C20" s="168"/>
      <c r="D20" s="836"/>
      <c r="E20" s="836"/>
      <c r="F20" s="838"/>
      <c r="G20" s="92" t="s">
        <v>11</v>
      </c>
      <c r="H20" s="96"/>
      <c r="I20" s="97"/>
      <c r="J20" s="97"/>
      <c r="K20" s="95"/>
      <c r="L20" s="96"/>
      <c r="M20" s="97"/>
      <c r="N20" s="97"/>
      <c r="O20" s="95"/>
      <c r="P20" s="96"/>
      <c r="Q20" s="97"/>
      <c r="R20" s="97"/>
      <c r="S20" s="94"/>
      <c r="T20" s="96"/>
      <c r="U20" s="97"/>
      <c r="V20" s="97"/>
      <c r="W20" s="95"/>
      <c r="X20" s="96"/>
      <c r="Y20" s="97"/>
      <c r="Z20" s="97"/>
      <c r="AA20" s="95"/>
      <c r="AB20" s="96"/>
      <c r="AC20" s="97"/>
      <c r="AD20" s="97"/>
      <c r="AE20" s="94"/>
      <c r="AF20" s="96"/>
      <c r="AG20" s="97"/>
      <c r="AH20" s="97"/>
      <c r="AI20" s="95"/>
      <c r="AJ20" s="96"/>
      <c r="AK20" s="97"/>
      <c r="AL20" s="97"/>
      <c r="AM20" s="95"/>
      <c r="AN20" s="96"/>
      <c r="AO20" s="97"/>
      <c r="AP20" s="97"/>
      <c r="AQ20" s="94"/>
      <c r="AR20" s="96"/>
      <c r="AS20" s="97"/>
      <c r="AT20" s="97"/>
      <c r="AU20" s="95"/>
      <c r="AV20" s="96"/>
      <c r="AW20" s="97"/>
      <c r="AX20" s="97"/>
      <c r="AY20" s="95"/>
      <c r="AZ20" s="96"/>
      <c r="BA20" s="97"/>
      <c r="BB20" s="97"/>
      <c r="BC20" s="94"/>
      <c r="BD20" s="825"/>
    </row>
    <row r="21" spans="1:56" s="107" customFormat="1" ht="15" customHeight="1" x14ac:dyDescent="0.25">
      <c r="A21" s="827"/>
      <c r="B21" s="840" t="s">
        <v>160</v>
      </c>
      <c r="C21" s="167">
        <v>2</v>
      </c>
      <c r="D21" s="835" t="s">
        <v>228</v>
      </c>
      <c r="E21" s="835"/>
      <c r="F21" s="837" t="e">
        <f>SUM(H22:BC22)/SUM(H21:BC21)</f>
        <v>#DIV/0!</v>
      </c>
      <c r="G21" s="91" t="s">
        <v>12</v>
      </c>
      <c r="H21" s="103"/>
      <c r="I21" s="104"/>
      <c r="J21" s="104"/>
      <c r="K21" s="105"/>
      <c r="L21" s="103"/>
      <c r="M21" s="104"/>
      <c r="N21" s="104"/>
      <c r="O21" s="105"/>
      <c r="P21" s="103"/>
      <c r="Q21" s="104"/>
      <c r="R21" s="104"/>
      <c r="S21" s="106"/>
      <c r="T21" s="103"/>
      <c r="U21" s="104"/>
      <c r="V21" s="104"/>
      <c r="W21" s="105"/>
      <c r="X21" s="103"/>
      <c r="Y21" s="104"/>
      <c r="Z21" s="104"/>
      <c r="AA21" s="105"/>
      <c r="AB21" s="103"/>
      <c r="AC21" s="104"/>
      <c r="AD21" s="104"/>
      <c r="AE21" s="106"/>
      <c r="AF21" s="103"/>
      <c r="AG21" s="104"/>
      <c r="AH21" s="104"/>
      <c r="AI21" s="105"/>
      <c r="AJ21" s="103"/>
      <c r="AK21" s="104"/>
      <c r="AL21" s="104"/>
      <c r="AM21" s="105"/>
      <c r="AN21" s="103"/>
      <c r="AO21" s="104"/>
      <c r="AP21" s="104"/>
      <c r="AQ21" s="106"/>
      <c r="AR21" s="103"/>
      <c r="AS21" s="104"/>
      <c r="AT21" s="104"/>
      <c r="AU21" s="105"/>
      <c r="AV21" s="103"/>
      <c r="AW21" s="104"/>
      <c r="AX21" s="104"/>
      <c r="AY21" s="105"/>
      <c r="AZ21" s="103"/>
      <c r="BA21" s="104"/>
      <c r="BB21" s="104"/>
      <c r="BC21" s="106"/>
      <c r="BD21" s="825"/>
    </row>
    <row r="22" spans="1:56" s="107" customFormat="1" ht="15.75" customHeight="1" thickBot="1" x14ac:dyDescent="0.3">
      <c r="A22" s="827"/>
      <c r="B22" s="841"/>
      <c r="C22" s="168"/>
      <c r="D22" s="836"/>
      <c r="E22" s="836"/>
      <c r="F22" s="838"/>
      <c r="G22" s="92" t="s">
        <v>11</v>
      </c>
      <c r="H22" s="96"/>
      <c r="I22" s="97"/>
      <c r="J22" s="97"/>
      <c r="K22" s="95"/>
      <c r="L22" s="96"/>
      <c r="M22" s="97"/>
      <c r="N22" s="97"/>
      <c r="O22" s="95"/>
      <c r="P22" s="96"/>
      <c r="Q22" s="97"/>
      <c r="R22" s="97"/>
      <c r="S22" s="94"/>
      <c r="T22" s="96"/>
      <c r="U22" s="97"/>
      <c r="V22" s="97"/>
      <c r="W22" s="95"/>
      <c r="X22" s="96"/>
      <c r="Y22" s="97"/>
      <c r="Z22" s="97"/>
      <c r="AA22" s="95"/>
      <c r="AB22" s="96"/>
      <c r="AC22" s="97"/>
      <c r="AD22" s="97"/>
      <c r="AE22" s="94"/>
      <c r="AF22" s="96"/>
      <c r="AG22" s="97"/>
      <c r="AH22" s="97"/>
      <c r="AI22" s="95"/>
      <c r="AJ22" s="96"/>
      <c r="AK22" s="97"/>
      <c r="AL22" s="97"/>
      <c r="AM22" s="95"/>
      <c r="AN22" s="96"/>
      <c r="AO22" s="97"/>
      <c r="AP22" s="97"/>
      <c r="AQ22" s="94"/>
      <c r="AR22" s="96"/>
      <c r="AS22" s="97"/>
      <c r="AT22" s="97"/>
      <c r="AU22" s="95"/>
      <c r="AV22" s="96"/>
      <c r="AW22" s="97"/>
      <c r="AX22" s="97"/>
      <c r="AY22" s="95"/>
      <c r="AZ22" s="96"/>
      <c r="BA22" s="97"/>
      <c r="BB22" s="97"/>
      <c r="BC22" s="94"/>
      <c r="BD22" s="825"/>
    </row>
    <row r="23" spans="1:56" s="107" customFormat="1" ht="15" customHeight="1" x14ac:dyDescent="0.25">
      <c r="A23" s="827"/>
      <c r="B23" s="840" t="s">
        <v>161</v>
      </c>
      <c r="C23" s="167">
        <v>1</v>
      </c>
      <c r="D23" s="835" t="s">
        <v>226</v>
      </c>
      <c r="E23" s="835"/>
      <c r="F23" s="837" t="e">
        <f>SUM(H24:BC24)/SUM(H23:BC23)</f>
        <v>#DIV/0!</v>
      </c>
      <c r="G23" s="91" t="s">
        <v>12</v>
      </c>
      <c r="H23" s="103"/>
      <c r="I23" s="104"/>
      <c r="J23" s="104"/>
      <c r="K23" s="105"/>
      <c r="L23" s="103"/>
      <c r="M23" s="104"/>
      <c r="N23" s="104"/>
      <c r="O23" s="105"/>
      <c r="P23" s="103"/>
      <c r="Q23" s="104"/>
      <c r="R23" s="104"/>
      <c r="S23" s="106"/>
      <c r="T23" s="103"/>
      <c r="U23" s="104"/>
      <c r="V23" s="104"/>
      <c r="W23" s="105"/>
      <c r="X23" s="103"/>
      <c r="Y23" s="104"/>
      <c r="Z23" s="104"/>
      <c r="AA23" s="105"/>
      <c r="AB23" s="103"/>
      <c r="AC23" s="104"/>
      <c r="AD23" s="104"/>
      <c r="AE23" s="106"/>
      <c r="AF23" s="103"/>
      <c r="AG23" s="104"/>
      <c r="AH23" s="104"/>
      <c r="AI23" s="105"/>
      <c r="AJ23" s="103"/>
      <c r="AK23" s="104"/>
      <c r="AL23" s="104"/>
      <c r="AM23" s="105"/>
      <c r="AN23" s="103"/>
      <c r="AO23" s="104"/>
      <c r="AP23" s="104"/>
      <c r="AQ23" s="106"/>
      <c r="AR23" s="103"/>
      <c r="AS23" s="104"/>
      <c r="AT23" s="104"/>
      <c r="AU23" s="105"/>
      <c r="AV23" s="103"/>
      <c r="AW23" s="104"/>
      <c r="AX23" s="104"/>
      <c r="AY23" s="105"/>
      <c r="AZ23" s="103"/>
      <c r="BA23" s="104"/>
      <c r="BB23" s="104"/>
      <c r="BC23" s="106"/>
      <c r="BD23" s="825"/>
    </row>
    <row r="24" spans="1:56" s="107" customFormat="1" ht="20.25" customHeight="1" thickBot="1" x14ac:dyDescent="0.3">
      <c r="A24" s="828"/>
      <c r="B24" s="841"/>
      <c r="C24" s="168"/>
      <c r="D24" s="836"/>
      <c r="E24" s="836"/>
      <c r="F24" s="838"/>
      <c r="G24" s="92" t="s">
        <v>11</v>
      </c>
      <c r="H24" s="96"/>
      <c r="I24" s="97"/>
      <c r="J24" s="97"/>
      <c r="K24" s="95"/>
      <c r="L24" s="96"/>
      <c r="M24" s="97"/>
      <c r="N24" s="97"/>
      <c r="O24" s="95"/>
      <c r="P24" s="96"/>
      <c r="Q24" s="97"/>
      <c r="R24" s="97"/>
      <c r="S24" s="94"/>
      <c r="T24" s="96"/>
      <c r="U24" s="97"/>
      <c r="V24" s="97"/>
      <c r="W24" s="95"/>
      <c r="X24" s="96"/>
      <c r="Y24" s="97"/>
      <c r="Z24" s="97"/>
      <c r="AA24" s="95"/>
      <c r="AB24" s="96"/>
      <c r="AC24" s="97"/>
      <c r="AD24" s="97"/>
      <c r="AE24" s="94"/>
      <c r="AF24" s="96"/>
      <c r="AG24" s="97"/>
      <c r="AH24" s="97"/>
      <c r="AI24" s="95"/>
      <c r="AJ24" s="96"/>
      <c r="AK24" s="97"/>
      <c r="AL24" s="97"/>
      <c r="AM24" s="95"/>
      <c r="AN24" s="96"/>
      <c r="AO24" s="97"/>
      <c r="AP24" s="97"/>
      <c r="AQ24" s="94"/>
      <c r="AR24" s="96"/>
      <c r="AS24" s="97"/>
      <c r="AT24" s="97"/>
      <c r="AU24" s="95"/>
      <c r="AV24" s="96"/>
      <c r="AW24" s="97"/>
      <c r="AX24" s="97"/>
      <c r="AY24" s="95"/>
      <c r="AZ24" s="96"/>
      <c r="BA24" s="97"/>
      <c r="BB24" s="97"/>
      <c r="BC24" s="94"/>
      <c r="BD24" s="825"/>
    </row>
    <row r="25" spans="1:56" s="107" customFormat="1" ht="15" customHeight="1" x14ac:dyDescent="0.25">
      <c r="A25" s="826">
        <v>1.3</v>
      </c>
      <c r="B25" s="842" t="s">
        <v>171</v>
      </c>
      <c r="C25" s="163"/>
      <c r="D25" s="835" t="s">
        <v>229</v>
      </c>
      <c r="E25" s="835" t="s">
        <v>231</v>
      </c>
      <c r="F25" s="837">
        <f>SUM(H26:BC26)/SUM(H25:BC25)</f>
        <v>0</v>
      </c>
      <c r="G25" s="91" t="s">
        <v>12</v>
      </c>
      <c r="H25" s="100">
        <v>0</v>
      </c>
      <c r="I25" s="101">
        <f t="shared" ref="I25:BC26" si="8">SUM(I27,I29,I31,I33,I35)</f>
        <v>0</v>
      </c>
      <c r="J25" s="101">
        <f t="shared" si="8"/>
        <v>0</v>
      </c>
      <c r="K25" s="102">
        <f t="shared" si="8"/>
        <v>0</v>
      </c>
      <c r="L25" s="103">
        <f t="shared" si="8"/>
        <v>0</v>
      </c>
      <c r="M25" s="104">
        <f t="shared" si="8"/>
        <v>0</v>
      </c>
      <c r="N25" s="104">
        <f t="shared" si="8"/>
        <v>0</v>
      </c>
      <c r="O25" s="105">
        <f t="shared" si="8"/>
        <v>0</v>
      </c>
      <c r="P25" s="103">
        <f t="shared" si="8"/>
        <v>0</v>
      </c>
      <c r="Q25" s="104">
        <f t="shared" si="8"/>
        <v>0</v>
      </c>
      <c r="R25" s="104">
        <f t="shared" si="8"/>
        <v>0</v>
      </c>
      <c r="S25" s="106">
        <f t="shared" si="8"/>
        <v>0</v>
      </c>
      <c r="T25" s="103"/>
      <c r="U25" s="106">
        <f t="shared" si="8"/>
        <v>0</v>
      </c>
      <c r="V25" s="104">
        <f t="shared" si="8"/>
        <v>0</v>
      </c>
      <c r="W25" s="102">
        <f t="shared" si="8"/>
        <v>0</v>
      </c>
      <c r="X25" s="103">
        <f t="shared" si="8"/>
        <v>0</v>
      </c>
      <c r="Y25" s="104">
        <f t="shared" si="8"/>
        <v>0</v>
      </c>
      <c r="Z25" s="104">
        <f t="shared" si="8"/>
        <v>0</v>
      </c>
      <c r="AA25" s="105">
        <f t="shared" si="8"/>
        <v>0</v>
      </c>
      <c r="AB25" s="103">
        <f t="shared" si="8"/>
        <v>0</v>
      </c>
      <c r="AC25" s="106"/>
      <c r="AD25" s="103">
        <f t="shared" si="8"/>
        <v>0</v>
      </c>
      <c r="AE25" s="105">
        <f t="shared" si="8"/>
        <v>0</v>
      </c>
      <c r="AF25" s="103">
        <f t="shared" si="8"/>
        <v>0</v>
      </c>
      <c r="AG25" s="104">
        <f t="shared" si="8"/>
        <v>0</v>
      </c>
      <c r="AH25" s="104">
        <f t="shared" si="8"/>
        <v>0</v>
      </c>
      <c r="AI25" s="105">
        <f t="shared" si="8"/>
        <v>0</v>
      </c>
      <c r="AJ25" s="103">
        <f t="shared" si="8"/>
        <v>0</v>
      </c>
      <c r="AK25" s="104">
        <f t="shared" si="8"/>
        <v>0</v>
      </c>
      <c r="AL25" s="104">
        <f t="shared" si="8"/>
        <v>0</v>
      </c>
      <c r="AM25" s="105">
        <f t="shared" si="8"/>
        <v>0</v>
      </c>
      <c r="AN25" s="103">
        <f t="shared" si="8"/>
        <v>0</v>
      </c>
      <c r="AO25" s="104">
        <f t="shared" si="8"/>
        <v>0</v>
      </c>
      <c r="AP25" s="104">
        <f t="shared" si="8"/>
        <v>0</v>
      </c>
      <c r="AQ25" s="105">
        <f t="shared" si="8"/>
        <v>0</v>
      </c>
      <c r="AR25" s="103">
        <f t="shared" si="8"/>
        <v>0</v>
      </c>
      <c r="AS25" s="104">
        <f t="shared" si="8"/>
        <v>0</v>
      </c>
      <c r="AT25" s="104">
        <f t="shared" si="8"/>
        <v>0</v>
      </c>
      <c r="AU25" s="105">
        <f t="shared" si="8"/>
        <v>0</v>
      </c>
      <c r="AV25" s="103">
        <f t="shared" si="8"/>
        <v>0</v>
      </c>
      <c r="AW25" s="104">
        <f t="shared" si="8"/>
        <v>0</v>
      </c>
      <c r="AX25" s="104">
        <f t="shared" si="8"/>
        <v>0</v>
      </c>
      <c r="AY25" s="105">
        <f t="shared" si="8"/>
        <v>0</v>
      </c>
      <c r="AZ25" s="103">
        <f t="shared" si="8"/>
        <v>0</v>
      </c>
      <c r="BA25" s="104">
        <f t="shared" si="8"/>
        <v>0</v>
      </c>
      <c r="BB25" s="104">
        <f t="shared" si="8"/>
        <v>0</v>
      </c>
      <c r="BC25" s="105">
        <f t="shared" si="8"/>
        <v>1</v>
      </c>
      <c r="BD25" s="843"/>
    </row>
    <row r="26" spans="1:56" s="107" customFormat="1" ht="15.75" customHeight="1" thickBot="1" x14ac:dyDescent="0.3">
      <c r="A26" s="827"/>
      <c r="B26" s="839"/>
      <c r="C26" s="164"/>
      <c r="D26" s="836"/>
      <c r="E26" s="836"/>
      <c r="F26" s="838"/>
      <c r="G26" s="92" t="s">
        <v>11</v>
      </c>
      <c r="H26" s="96">
        <f>SUM(H28,H30,H32,H34,H36)</f>
        <v>0</v>
      </c>
      <c r="I26" s="97">
        <f t="shared" si="8"/>
        <v>0</v>
      </c>
      <c r="J26" s="97">
        <f t="shared" si="8"/>
        <v>0</v>
      </c>
      <c r="K26" s="95">
        <f t="shared" si="8"/>
        <v>0</v>
      </c>
      <c r="L26" s="96">
        <f t="shared" si="8"/>
        <v>0</v>
      </c>
      <c r="M26" s="97">
        <f t="shared" si="8"/>
        <v>0</v>
      </c>
      <c r="N26" s="97">
        <f t="shared" si="8"/>
        <v>0</v>
      </c>
      <c r="O26" s="95">
        <f t="shared" si="8"/>
        <v>0</v>
      </c>
      <c r="P26" s="96">
        <f t="shared" si="8"/>
        <v>0</v>
      </c>
      <c r="Q26" s="97">
        <f t="shared" si="8"/>
        <v>0</v>
      </c>
      <c r="R26" s="97">
        <f t="shared" si="8"/>
        <v>0</v>
      </c>
      <c r="S26" s="94">
        <f t="shared" si="8"/>
        <v>0</v>
      </c>
      <c r="T26" s="96"/>
      <c r="U26" s="94">
        <f t="shared" si="8"/>
        <v>0</v>
      </c>
      <c r="V26" s="94">
        <f t="shared" si="8"/>
        <v>0</v>
      </c>
      <c r="W26" s="94">
        <f t="shared" si="8"/>
        <v>0</v>
      </c>
      <c r="X26" s="94">
        <f t="shared" si="8"/>
        <v>0</v>
      </c>
      <c r="Y26" s="94">
        <f t="shared" si="8"/>
        <v>0</v>
      </c>
      <c r="Z26" s="94">
        <f t="shared" si="8"/>
        <v>0</v>
      </c>
      <c r="AA26" s="94">
        <f t="shared" si="8"/>
        <v>0</v>
      </c>
      <c r="AB26" s="96">
        <f t="shared" si="8"/>
        <v>0</v>
      </c>
      <c r="AC26" s="94"/>
      <c r="AD26" s="96">
        <f t="shared" si="8"/>
        <v>0</v>
      </c>
      <c r="AE26" s="95">
        <f t="shared" si="8"/>
        <v>0</v>
      </c>
      <c r="AF26" s="96">
        <f t="shared" si="8"/>
        <v>0</v>
      </c>
      <c r="AG26" s="97">
        <f t="shared" si="8"/>
        <v>0</v>
      </c>
      <c r="AH26" s="97">
        <f t="shared" si="8"/>
        <v>0</v>
      </c>
      <c r="AI26" s="95">
        <f t="shared" si="8"/>
        <v>0</v>
      </c>
      <c r="AJ26" s="96">
        <f t="shared" si="8"/>
        <v>0</v>
      </c>
      <c r="AK26" s="97">
        <f t="shared" si="8"/>
        <v>0</v>
      </c>
      <c r="AL26" s="97">
        <f t="shared" si="8"/>
        <v>0</v>
      </c>
      <c r="AM26" s="95">
        <f t="shared" si="8"/>
        <v>0</v>
      </c>
      <c r="AN26" s="96">
        <f t="shared" si="8"/>
        <v>0</v>
      </c>
      <c r="AO26" s="97">
        <f t="shared" si="8"/>
        <v>0</v>
      </c>
      <c r="AP26" s="97">
        <f t="shared" si="8"/>
        <v>0</v>
      </c>
      <c r="AQ26" s="95">
        <f t="shared" si="8"/>
        <v>0</v>
      </c>
      <c r="AR26" s="96">
        <f t="shared" si="8"/>
        <v>0</v>
      </c>
      <c r="AS26" s="97">
        <f t="shared" si="8"/>
        <v>0</v>
      </c>
      <c r="AT26" s="97">
        <f t="shared" si="8"/>
        <v>0</v>
      </c>
      <c r="AU26" s="95">
        <f t="shared" si="8"/>
        <v>0</v>
      </c>
      <c r="AV26" s="96">
        <f t="shared" si="8"/>
        <v>0</v>
      </c>
      <c r="AW26" s="97">
        <f t="shared" si="8"/>
        <v>0</v>
      </c>
      <c r="AX26" s="97">
        <f t="shared" si="8"/>
        <v>0</v>
      </c>
      <c r="AY26" s="95">
        <f t="shared" si="8"/>
        <v>0</v>
      </c>
      <c r="AZ26" s="96">
        <f t="shared" si="8"/>
        <v>0</v>
      </c>
      <c r="BA26" s="97">
        <f t="shared" si="8"/>
        <v>0</v>
      </c>
      <c r="BB26" s="97">
        <f t="shared" si="8"/>
        <v>0</v>
      </c>
      <c r="BC26" s="95">
        <f t="shared" si="8"/>
        <v>0</v>
      </c>
      <c r="BD26" s="843"/>
    </row>
    <row r="27" spans="1:56" s="107" customFormat="1" ht="15" customHeight="1" x14ac:dyDescent="0.25">
      <c r="A27" s="827"/>
      <c r="B27" s="840" t="s">
        <v>157</v>
      </c>
      <c r="C27" s="167"/>
      <c r="D27" s="835" t="s">
        <v>226</v>
      </c>
      <c r="E27" s="835"/>
      <c r="F27" s="837">
        <f>SUM(H28:BC28)/SUM(H27:BC27)</f>
        <v>0</v>
      </c>
      <c r="G27" s="91" t="s">
        <v>12</v>
      </c>
      <c r="H27" s="103"/>
      <c r="I27" s="104"/>
      <c r="J27" s="104"/>
      <c r="K27" s="105"/>
      <c r="L27" s="103"/>
      <c r="M27" s="104"/>
      <c r="N27" s="104"/>
      <c r="O27" s="105"/>
      <c r="P27" s="103"/>
      <c r="Q27" s="104"/>
      <c r="R27" s="104"/>
      <c r="S27" s="105"/>
      <c r="T27" s="103"/>
      <c r="U27" s="104"/>
      <c r="V27" s="104"/>
      <c r="W27" s="105"/>
      <c r="X27" s="103"/>
      <c r="Y27" s="104"/>
      <c r="Z27" s="104"/>
      <c r="AA27" s="105"/>
      <c r="AB27" s="103"/>
      <c r="AC27" s="104"/>
      <c r="AD27" s="104"/>
      <c r="AE27" s="105"/>
      <c r="AF27" s="103"/>
      <c r="AG27" s="104"/>
      <c r="AH27" s="104"/>
      <c r="AI27" s="105"/>
      <c r="AJ27" s="103"/>
      <c r="AK27" s="104"/>
      <c r="AL27" s="104"/>
      <c r="AM27" s="105"/>
      <c r="AN27" s="103"/>
      <c r="AO27" s="104"/>
      <c r="AP27" s="104"/>
      <c r="AQ27" s="105"/>
      <c r="AR27" s="103"/>
      <c r="AS27" s="104"/>
      <c r="AT27" s="104"/>
      <c r="AU27" s="105"/>
      <c r="AV27" s="103"/>
      <c r="AW27" s="104"/>
      <c r="AX27" s="104"/>
      <c r="AY27" s="105"/>
      <c r="AZ27" s="103"/>
      <c r="BA27" s="104"/>
      <c r="BB27" s="104"/>
      <c r="BC27" s="105">
        <v>1</v>
      </c>
      <c r="BD27" s="843"/>
    </row>
    <row r="28" spans="1:56" s="107" customFormat="1" ht="15.75" customHeight="1" thickBot="1" x14ac:dyDescent="0.3">
      <c r="A28" s="827"/>
      <c r="B28" s="841"/>
      <c r="C28" s="168"/>
      <c r="D28" s="836"/>
      <c r="E28" s="836"/>
      <c r="F28" s="838"/>
      <c r="G28" s="92" t="s">
        <v>11</v>
      </c>
      <c r="H28" s="96"/>
      <c r="I28" s="97"/>
      <c r="J28" s="97"/>
      <c r="K28" s="95"/>
      <c r="L28" s="96"/>
      <c r="M28" s="97"/>
      <c r="N28" s="97"/>
      <c r="O28" s="95"/>
      <c r="P28" s="96"/>
      <c r="Q28" s="97"/>
      <c r="R28" s="97"/>
      <c r="S28" s="95"/>
      <c r="T28" s="96"/>
      <c r="U28" s="97"/>
      <c r="V28" s="97"/>
      <c r="W28" s="95"/>
      <c r="X28" s="96"/>
      <c r="Y28" s="97"/>
      <c r="Z28" s="97"/>
      <c r="AA28" s="95"/>
      <c r="AB28" s="96"/>
      <c r="AC28" s="97"/>
      <c r="AD28" s="97"/>
      <c r="AE28" s="95"/>
      <c r="AF28" s="96"/>
      <c r="AG28" s="97"/>
      <c r="AH28" s="97"/>
      <c r="AI28" s="95"/>
      <c r="AJ28" s="96"/>
      <c r="AK28" s="97"/>
      <c r="AL28" s="97"/>
      <c r="AM28" s="95"/>
      <c r="AN28" s="96"/>
      <c r="AO28" s="97"/>
      <c r="AP28" s="97"/>
      <c r="AQ28" s="95"/>
      <c r="AR28" s="96"/>
      <c r="AS28" s="97"/>
      <c r="AT28" s="97"/>
      <c r="AU28" s="95"/>
      <c r="AV28" s="96"/>
      <c r="AW28" s="97"/>
      <c r="AX28" s="97"/>
      <c r="AY28" s="95"/>
      <c r="AZ28" s="96"/>
      <c r="BA28" s="97"/>
      <c r="BB28" s="97"/>
      <c r="BC28" s="95"/>
      <c r="BD28" s="843"/>
    </row>
    <row r="29" spans="1:56" s="107" customFormat="1" ht="15" customHeight="1" x14ac:dyDescent="0.25">
      <c r="A29" s="827"/>
      <c r="B29" s="840" t="s">
        <v>158</v>
      </c>
      <c r="C29" s="167"/>
      <c r="D29" s="835" t="s">
        <v>227</v>
      </c>
      <c r="E29" s="835"/>
      <c r="F29" s="837" t="e">
        <f>SUM(H30:BC30)/SUM(H29:BC29)</f>
        <v>#DIV/0!</v>
      </c>
      <c r="G29" s="91" t="s">
        <v>12</v>
      </c>
      <c r="H29" s="103"/>
      <c r="I29" s="104"/>
      <c r="J29" s="104"/>
      <c r="K29" s="105"/>
      <c r="L29" s="103"/>
      <c r="M29" s="104"/>
      <c r="N29" s="104"/>
      <c r="O29" s="105"/>
      <c r="P29" s="103"/>
      <c r="Q29" s="104"/>
      <c r="R29" s="104"/>
      <c r="S29" s="105"/>
      <c r="T29" s="103"/>
      <c r="U29" s="104"/>
      <c r="V29" s="104"/>
      <c r="W29" s="105"/>
      <c r="X29" s="103"/>
      <c r="Y29" s="104"/>
      <c r="Z29" s="104"/>
      <c r="AA29" s="105"/>
      <c r="AB29" s="103"/>
      <c r="AC29" s="104"/>
      <c r="AD29" s="104"/>
      <c r="AE29" s="105"/>
      <c r="AF29" s="103"/>
      <c r="AG29" s="104"/>
      <c r="AH29" s="104"/>
      <c r="AI29" s="105"/>
      <c r="AJ29" s="103"/>
      <c r="AK29" s="104"/>
      <c r="AL29" s="104"/>
      <c r="AM29" s="105"/>
      <c r="AN29" s="103"/>
      <c r="AO29" s="104"/>
      <c r="AP29" s="104"/>
      <c r="AQ29" s="105"/>
      <c r="AR29" s="103"/>
      <c r="AS29" s="104"/>
      <c r="AT29" s="104"/>
      <c r="AU29" s="105"/>
      <c r="AV29" s="103"/>
      <c r="AW29" s="104"/>
      <c r="AX29" s="104"/>
      <c r="AY29" s="105"/>
      <c r="AZ29" s="103"/>
      <c r="BA29" s="104"/>
      <c r="BB29" s="104"/>
      <c r="BC29" s="105"/>
      <c r="BD29" s="843"/>
    </row>
    <row r="30" spans="1:56" s="107" customFormat="1" ht="15.75" customHeight="1" thickBot="1" x14ac:dyDescent="0.3">
      <c r="A30" s="827"/>
      <c r="B30" s="841"/>
      <c r="C30" s="168"/>
      <c r="D30" s="836"/>
      <c r="E30" s="836"/>
      <c r="F30" s="838"/>
      <c r="G30" s="92" t="s">
        <v>11</v>
      </c>
      <c r="H30" s="96"/>
      <c r="I30" s="97"/>
      <c r="J30" s="97"/>
      <c r="K30" s="95"/>
      <c r="L30" s="96"/>
      <c r="M30" s="97"/>
      <c r="N30" s="97"/>
      <c r="O30" s="95"/>
      <c r="P30" s="96"/>
      <c r="Q30" s="97"/>
      <c r="R30" s="97"/>
      <c r="S30" s="95"/>
      <c r="T30" s="96"/>
      <c r="U30" s="97"/>
      <c r="V30" s="97"/>
      <c r="W30" s="95"/>
      <c r="X30" s="96"/>
      <c r="Y30" s="97"/>
      <c r="Z30" s="97"/>
      <c r="AA30" s="95"/>
      <c r="AB30" s="96"/>
      <c r="AC30" s="97"/>
      <c r="AD30" s="97"/>
      <c r="AE30" s="95"/>
      <c r="AF30" s="96"/>
      <c r="AG30" s="97"/>
      <c r="AH30" s="97"/>
      <c r="AI30" s="95"/>
      <c r="AJ30" s="96"/>
      <c r="AK30" s="97"/>
      <c r="AL30" s="97"/>
      <c r="AM30" s="95"/>
      <c r="AN30" s="96"/>
      <c r="AO30" s="97"/>
      <c r="AP30" s="97"/>
      <c r="AQ30" s="95"/>
      <c r="AR30" s="96"/>
      <c r="AS30" s="97"/>
      <c r="AT30" s="97"/>
      <c r="AU30" s="95"/>
      <c r="AV30" s="96"/>
      <c r="AW30" s="97"/>
      <c r="AX30" s="97"/>
      <c r="AY30" s="95"/>
      <c r="AZ30" s="96"/>
      <c r="BA30" s="97"/>
      <c r="BB30" s="97"/>
      <c r="BC30" s="95"/>
      <c r="BD30" s="843"/>
    </row>
    <row r="31" spans="1:56" s="107" customFormat="1" ht="15" customHeight="1" x14ac:dyDescent="0.25">
      <c r="A31" s="827"/>
      <c r="B31" s="840" t="s">
        <v>159</v>
      </c>
      <c r="C31" s="167"/>
      <c r="D31" s="835" t="s">
        <v>228</v>
      </c>
      <c r="E31" s="835"/>
      <c r="F31" s="837" t="e">
        <f>SUM(H32:BC32)/SUM(H31:BC31)</f>
        <v>#DIV/0!</v>
      </c>
      <c r="G31" s="91" t="s">
        <v>12</v>
      </c>
      <c r="H31" s="103"/>
      <c r="I31" s="104"/>
      <c r="J31" s="104"/>
      <c r="K31" s="105"/>
      <c r="L31" s="103"/>
      <c r="M31" s="104"/>
      <c r="N31" s="104"/>
      <c r="O31" s="105"/>
      <c r="P31" s="103"/>
      <c r="Q31" s="104"/>
      <c r="R31" s="104"/>
      <c r="S31" s="105"/>
      <c r="T31" s="103"/>
      <c r="U31" s="104"/>
      <c r="V31" s="104"/>
      <c r="W31" s="105"/>
      <c r="X31" s="103"/>
      <c r="Y31" s="104"/>
      <c r="Z31" s="104"/>
      <c r="AA31" s="105"/>
      <c r="AB31" s="103"/>
      <c r="AC31" s="104"/>
      <c r="AD31" s="104"/>
      <c r="AE31" s="105"/>
      <c r="AF31" s="103"/>
      <c r="AG31" s="104"/>
      <c r="AH31" s="104"/>
      <c r="AI31" s="105"/>
      <c r="AJ31" s="103"/>
      <c r="AK31" s="104"/>
      <c r="AL31" s="104"/>
      <c r="AM31" s="105"/>
      <c r="AN31" s="103"/>
      <c r="AO31" s="104"/>
      <c r="AP31" s="104"/>
      <c r="AQ31" s="105"/>
      <c r="AR31" s="103"/>
      <c r="AS31" s="104"/>
      <c r="AT31" s="104"/>
      <c r="AU31" s="105"/>
      <c r="AV31" s="103"/>
      <c r="AW31" s="104"/>
      <c r="AX31" s="104"/>
      <c r="AY31" s="105"/>
      <c r="AZ31" s="103"/>
      <c r="BA31" s="104"/>
      <c r="BB31" s="104"/>
      <c r="BC31" s="105"/>
      <c r="BD31" s="843"/>
    </row>
    <row r="32" spans="1:56" s="107" customFormat="1" ht="20.25" customHeight="1" thickBot="1" x14ac:dyDescent="0.3">
      <c r="A32" s="827"/>
      <c r="B32" s="841"/>
      <c r="C32" s="168"/>
      <c r="D32" s="836"/>
      <c r="E32" s="836"/>
      <c r="F32" s="838"/>
      <c r="G32" s="92" t="s">
        <v>11</v>
      </c>
      <c r="H32" s="96"/>
      <c r="I32" s="97"/>
      <c r="J32" s="97"/>
      <c r="K32" s="95"/>
      <c r="L32" s="96"/>
      <c r="M32" s="97"/>
      <c r="N32" s="97"/>
      <c r="O32" s="95"/>
      <c r="P32" s="96"/>
      <c r="Q32" s="97"/>
      <c r="R32" s="97"/>
      <c r="S32" s="95"/>
      <c r="T32" s="96"/>
      <c r="U32" s="97"/>
      <c r="V32" s="97"/>
      <c r="W32" s="95"/>
      <c r="X32" s="96"/>
      <c r="Y32" s="97"/>
      <c r="Z32" s="97"/>
      <c r="AA32" s="95"/>
      <c r="AB32" s="96"/>
      <c r="AC32" s="97"/>
      <c r="AD32" s="97"/>
      <c r="AE32" s="95"/>
      <c r="AF32" s="96"/>
      <c r="AG32" s="97"/>
      <c r="AH32" s="97"/>
      <c r="AI32" s="95"/>
      <c r="AJ32" s="96"/>
      <c r="AK32" s="97"/>
      <c r="AL32" s="97"/>
      <c r="AM32" s="95"/>
      <c r="AN32" s="96"/>
      <c r="AO32" s="97"/>
      <c r="AP32" s="97"/>
      <c r="AQ32" s="95"/>
      <c r="AR32" s="96"/>
      <c r="AS32" s="97"/>
      <c r="AT32" s="97"/>
      <c r="AU32" s="95"/>
      <c r="AV32" s="96"/>
      <c r="AW32" s="97"/>
      <c r="AX32" s="97"/>
      <c r="AY32" s="95"/>
      <c r="AZ32" s="96"/>
      <c r="BA32" s="97"/>
      <c r="BB32" s="97"/>
      <c r="BC32" s="95"/>
      <c r="BD32" s="843"/>
    </row>
    <row r="33" spans="1:56" s="107" customFormat="1" ht="15" customHeight="1" x14ac:dyDescent="0.25">
      <c r="A33" s="827"/>
      <c r="B33" s="840" t="s">
        <v>160</v>
      </c>
      <c r="C33" s="167"/>
      <c r="D33" s="835" t="s">
        <v>228</v>
      </c>
      <c r="E33" s="835"/>
      <c r="F33" s="837" t="e">
        <f>SUM(H34:BC34)/SUM(H33:BC33)</f>
        <v>#DIV/0!</v>
      </c>
      <c r="G33" s="91" t="s">
        <v>12</v>
      </c>
      <c r="H33" s="103"/>
      <c r="I33" s="104"/>
      <c r="J33" s="104"/>
      <c r="K33" s="105"/>
      <c r="L33" s="103"/>
      <c r="M33" s="104"/>
      <c r="N33" s="104"/>
      <c r="O33" s="105"/>
      <c r="P33" s="103"/>
      <c r="Q33" s="104"/>
      <c r="R33" s="104"/>
      <c r="S33" s="105"/>
      <c r="T33" s="103"/>
      <c r="U33" s="104"/>
      <c r="V33" s="104"/>
      <c r="W33" s="105"/>
      <c r="X33" s="103"/>
      <c r="Y33" s="104"/>
      <c r="Z33" s="104"/>
      <c r="AA33" s="105"/>
      <c r="AB33" s="103"/>
      <c r="AC33" s="104"/>
      <c r="AD33" s="104"/>
      <c r="AE33" s="105"/>
      <c r="AF33" s="103"/>
      <c r="AG33" s="104"/>
      <c r="AH33" s="104"/>
      <c r="AI33" s="105"/>
      <c r="AJ33" s="103"/>
      <c r="AK33" s="104"/>
      <c r="AL33" s="104"/>
      <c r="AM33" s="105"/>
      <c r="AN33" s="103"/>
      <c r="AO33" s="104"/>
      <c r="AP33" s="104"/>
      <c r="AQ33" s="105"/>
      <c r="AR33" s="103"/>
      <c r="AS33" s="104"/>
      <c r="AT33" s="104"/>
      <c r="AU33" s="105"/>
      <c r="AV33" s="103"/>
      <c r="AW33" s="104"/>
      <c r="AX33" s="104"/>
      <c r="AY33" s="105"/>
      <c r="AZ33" s="103"/>
      <c r="BA33" s="104"/>
      <c r="BB33" s="104"/>
      <c r="BC33" s="105"/>
      <c r="BD33" s="843"/>
    </row>
    <row r="34" spans="1:56" s="107" customFormat="1" ht="15.75" customHeight="1" thickBot="1" x14ac:dyDescent="0.3">
      <c r="A34" s="827"/>
      <c r="B34" s="841"/>
      <c r="C34" s="168"/>
      <c r="D34" s="836"/>
      <c r="E34" s="836"/>
      <c r="F34" s="838"/>
      <c r="G34" s="92" t="s">
        <v>11</v>
      </c>
      <c r="H34" s="96"/>
      <c r="I34" s="97"/>
      <c r="J34" s="97"/>
      <c r="K34" s="95"/>
      <c r="L34" s="96"/>
      <c r="M34" s="97"/>
      <c r="N34" s="97"/>
      <c r="O34" s="95"/>
      <c r="P34" s="96"/>
      <c r="Q34" s="97"/>
      <c r="R34" s="97"/>
      <c r="S34" s="95"/>
      <c r="T34" s="96"/>
      <c r="U34" s="97"/>
      <c r="V34" s="97"/>
      <c r="W34" s="95"/>
      <c r="X34" s="96"/>
      <c r="Y34" s="97"/>
      <c r="Z34" s="97"/>
      <c r="AA34" s="95"/>
      <c r="AB34" s="96"/>
      <c r="AC34" s="97"/>
      <c r="AD34" s="97"/>
      <c r="AE34" s="95"/>
      <c r="AF34" s="96"/>
      <c r="AG34" s="97"/>
      <c r="AH34" s="97"/>
      <c r="AI34" s="95"/>
      <c r="AJ34" s="96"/>
      <c r="AK34" s="97"/>
      <c r="AL34" s="97"/>
      <c r="AM34" s="95"/>
      <c r="AN34" s="96"/>
      <c r="AO34" s="97"/>
      <c r="AP34" s="97"/>
      <c r="AQ34" s="95"/>
      <c r="AR34" s="96"/>
      <c r="AS34" s="97"/>
      <c r="AT34" s="97"/>
      <c r="AU34" s="95"/>
      <c r="AV34" s="96"/>
      <c r="AW34" s="97"/>
      <c r="AX34" s="97"/>
      <c r="AY34" s="95"/>
      <c r="AZ34" s="96"/>
      <c r="BA34" s="97"/>
      <c r="BB34" s="97"/>
      <c r="BC34" s="95"/>
      <c r="BD34" s="843"/>
    </row>
    <row r="35" spans="1:56" s="107" customFormat="1" ht="15" customHeight="1" x14ac:dyDescent="0.25">
      <c r="A35" s="827"/>
      <c r="B35" s="840" t="s">
        <v>161</v>
      </c>
      <c r="C35" s="167"/>
      <c r="D35" s="835" t="s">
        <v>226</v>
      </c>
      <c r="E35" s="835"/>
      <c r="F35" s="837" t="e">
        <f>SUM(H36:BC36)/SUM(H35:BC35)</f>
        <v>#DIV/0!</v>
      </c>
      <c r="G35" s="91" t="s">
        <v>12</v>
      </c>
      <c r="H35" s="103"/>
      <c r="I35" s="104"/>
      <c r="J35" s="104"/>
      <c r="K35" s="105"/>
      <c r="L35" s="103"/>
      <c r="M35" s="104"/>
      <c r="N35" s="104"/>
      <c r="O35" s="105"/>
      <c r="P35" s="103"/>
      <c r="Q35" s="104"/>
      <c r="R35" s="104"/>
      <c r="S35" s="105"/>
      <c r="T35" s="103"/>
      <c r="U35" s="104"/>
      <c r="V35" s="104"/>
      <c r="W35" s="105"/>
      <c r="X35" s="103"/>
      <c r="Y35" s="104"/>
      <c r="Z35" s="104"/>
      <c r="AA35" s="105"/>
      <c r="AB35" s="103"/>
      <c r="AC35" s="104"/>
      <c r="AD35" s="104"/>
      <c r="AE35" s="105"/>
      <c r="AF35" s="103"/>
      <c r="AG35" s="104"/>
      <c r="AH35" s="104"/>
      <c r="AI35" s="105"/>
      <c r="AJ35" s="103"/>
      <c r="AK35" s="104"/>
      <c r="AL35" s="104"/>
      <c r="AM35" s="105"/>
      <c r="AN35" s="103"/>
      <c r="AO35" s="104"/>
      <c r="AP35" s="104"/>
      <c r="AQ35" s="105"/>
      <c r="AR35" s="103"/>
      <c r="AS35" s="104"/>
      <c r="AT35" s="104"/>
      <c r="AU35" s="105"/>
      <c r="AV35" s="103"/>
      <c r="AW35" s="104"/>
      <c r="AX35" s="104"/>
      <c r="AY35" s="105"/>
      <c r="AZ35" s="103"/>
      <c r="BA35" s="104"/>
      <c r="BB35" s="104"/>
      <c r="BC35" s="105"/>
      <c r="BD35" s="843"/>
    </row>
    <row r="36" spans="1:56" s="107" customFormat="1" ht="20.25" customHeight="1" thickBot="1" x14ac:dyDescent="0.3">
      <c r="A36" s="828"/>
      <c r="B36" s="841"/>
      <c r="C36" s="168"/>
      <c r="D36" s="836"/>
      <c r="E36" s="836"/>
      <c r="F36" s="838"/>
      <c r="G36" s="92" t="s">
        <v>11</v>
      </c>
      <c r="H36" s="96"/>
      <c r="I36" s="97"/>
      <c r="J36" s="97"/>
      <c r="K36" s="95"/>
      <c r="L36" s="96"/>
      <c r="M36" s="97"/>
      <c r="N36" s="97"/>
      <c r="O36" s="95"/>
      <c r="P36" s="96"/>
      <c r="Q36" s="97"/>
      <c r="R36" s="97"/>
      <c r="S36" s="95"/>
      <c r="T36" s="96"/>
      <c r="U36" s="97"/>
      <c r="V36" s="97"/>
      <c r="W36" s="95"/>
      <c r="X36" s="96"/>
      <c r="Y36" s="97"/>
      <c r="Z36" s="97"/>
      <c r="AA36" s="95"/>
      <c r="AB36" s="96"/>
      <c r="AC36" s="97"/>
      <c r="AD36" s="97"/>
      <c r="AE36" s="95"/>
      <c r="AF36" s="96"/>
      <c r="AG36" s="97"/>
      <c r="AH36" s="97"/>
      <c r="AI36" s="95"/>
      <c r="AJ36" s="96"/>
      <c r="AK36" s="97"/>
      <c r="AL36" s="97"/>
      <c r="AM36" s="95"/>
      <c r="AN36" s="96"/>
      <c r="AO36" s="97"/>
      <c r="AP36" s="97"/>
      <c r="AQ36" s="95"/>
      <c r="AR36" s="96"/>
      <c r="AS36" s="97"/>
      <c r="AT36" s="97"/>
      <c r="AU36" s="95"/>
      <c r="AV36" s="96"/>
      <c r="AW36" s="97"/>
      <c r="AX36" s="97"/>
      <c r="AY36" s="95"/>
      <c r="AZ36" s="96"/>
      <c r="BA36" s="97"/>
      <c r="BB36" s="97"/>
      <c r="BC36" s="95"/>
      <c r="BD36" s="843"/>
    </row>
    <row r="37" spans="1:56" ht="15.75" x14ac:dyDescent="0.25">
      <c r="A37" s="817">
        <v>2</v>
      </c>
      <c r="B37" s="819" t="s">
        <v>162</v>
      </c>
      <c r="C37" s="160"/>
      <c r="D37" s="819" t="s">
        <v>232</v>
      </c>
      <c r="E37" s="819" t="s">
        <v>232</v>
      </c>
      <c r="F37" s="847" t="e">
        <f>SUM(H38:BC38)/SUM(H37:BC37)</f>
        <v>#DIV/0!</v>
      </c>
      <c r="G37" s="849"/>
      <c r="H37" s="103">
        <f t="shared" ref="H37:BC38" si="9">H39+H41+H43+H45</f>
        <v>0</v>
      </c>
      <c r="I37" s="101">
        <f t="shared" si="9"/>
        <v>0</v>
      </c>
      <c r="J37" s="104">
        <f t="shared" si="9"/>
        <v>0</v>
      </c>
      <c r="K37" s="102">
        <f t="shared" si="9"/>
        <v>0</v>
      </c>
      <c r="L37" s="103">
        <f t="shared" si="9"/>
        <v>0</v>
      </c>
      <c r="M37" s="101">
        <f t="shared" si="9"/>
        <v>0</v>
      </c>
      <c r="N37" s="104">
        <f t="shared" si="9"/>
        <v>0</v>
      </c>
      <c r="O37" s="102">
        <f t="shared" si="9"/>
        <v>0</v>
      </c>
      <c r="P37" s="103">
        <f t="shared" si="9"/>
        <v>0</v>
      </c>
      <c r="Q37" s="101">
        <f t="shared" si="9"/>
        <v>0</v>
      </c>
      <c r="R37" s="104">
        <f t="shared" si="9"/>
        <v>0</v>
      </c>
      <c r="S37" s="102">
        <f t="shared" si="9"/>
        <v>0</v>
      </c>
      <c r="T37" s="103">
        <f t="shared" si="9"/>
        <v>0</v>
      </c>
      <c r="U37" s="101">
        <f t="shared" si="9"/>
        <v>0</v>
      </c>
      <c r="V37" s="104">
        <f t="shared" si="9"/>
        <v>0</v>
      </c>
      <c r="W37" s="102">
        <f t="shared" si="9"/>
        <v>0</v>
      </c>
      <c r="X37" s="103">
        <f t="shared" si="9"/>
        <v>0</v>
      </c>
      <c r="Y37" s="101">
        <f t="shared" si="9"/>
        <v>0</v>
      </c>
      <c r="Z37" s="104">
        <f t="shared" si="9"/>
        <v>0</v>
      </c>
      <c r="AA37" s="102">
        <f t="shared" si="9"/>
        <v>0</v>
      </c>
      <c r="AB37" s="103">
        <f t="shared" si="9"/>
        <v>0</v>
      </c>
      <c r="AC37" s="101">
        <f t="shared" si="9"/>
        <v>0</v>
      </c>
      <c r="AD37" s="104">
        <f t="shared" si="9"/>
        <v>0</v>
      </c>
      <c r="AE37" s="102">
        <f t="shared" si="9"/>
        <v>0</v>
      </c>
      <c r="AF37" s="103">
        <f t="shared" si="9"/>
        <v>0</v>
      </c>
      <c r="AG37" s="101">
        <f t="shared" si="9"/>
        <v>0</v>
      </c>
      <c r="AH37" s="104">
        <f t="shared" si="9"/>
        <v>0</v>
      </c>
      <c r="AI37" s="102">
        <f t="shared" si="9"/>
        <v>0</v>
      </c>
      <c r="AJ37" s="103">
        <f t="shared" si="9"/>
        <v>0</v>
      </c>
      <c r="AK37" s="101">
        <f t="shared" si="9"/>
        <v>0</v>
      </c>
      <c r="AL37" s="104">
        <f t="shared" si="9"/>
        <v>0</v>
      </c>
      <c r="AM37" s="102">
        <f t="shared" si="9"/>
        <v>0</v>
      </c>
      <c r="AN37" s="103">
        <f t="shared" si="9"/>
        <v>0</v>
      </c>
      <c r="AO37" s="101">
        <f t="shared" si="9"/>
        <v>0</v>
      </c>
      <c r="AP37" s="104">
        <f t="shared" si="9"/>
        <v>0</v>
      </c>
      <c r="AQ37" s="102">
        <f t="shared" si="9"/>
        <v>0</v>
      </c>
      <c r="AR37" s="103">
        <f t="shared" si="9"/>
        <v>0</v>
      </c>
      <c r="AS37" s="101">
        <f t="shared" si="9"/>
        <v>0</v>
      </c>
      <c r="AT37" s="104">
        <f t="shared" si="9"/>
        <v>0</v>
      </c>
      <c r="AU37" s="102">
        <f t="shared" si="9"/>
        <v>0</v>
      </c>
      <c r="AV37" s="103">
        <f t="shared" si="9"/>
        <v>0</v>
      </c>
      <c r="AW37" s="101">
        <f t="shared" si="9"/>
        <v>0</v>
      </c>
      <c r="AX37" s="104">
        <f t="shared" si="9"/>
        <v>0</v>
      </c>
      <c r="AY37" s="102">
        <f t="shared" si="9"/>
        <v>0</v>
      </c>
      <c r="AZ37" s="103">
        <f t="shared" si="9"/>
        <v>0</v>
      </c>
      <c r="BA37" s="101">
        <f t="shared" si="9"/>
        <v>0</v>
      </c>
      <c r="BB37" s="104">
        <f t="shared" si="9"/>
        <v>0</v>
      </c>
      <c r="BC37" s="102">
        <f t="shared" si="9"/>
        <v>0</v>
      </c>
      <c r="BD37" s="825"/>
    </row>
    <row r="38" spans="1:56" ht="15.75" customHeight="1" thickBot="1" x14ac:dyDescent="0.3">
      <c r="A38" s="818"/>
      <c r="B38" s="820"/>
      <c r="C38" s="161"/>
      <c r="D38" s="820"/>
      <c r="E38" s="820"/>
      <c r="F38" s="848"/>
      <c r="G38" s="850"/>
      <c r="H38" s="96">
        <f t="shared" si="9"/>
        <v>0</v>
      </c>
      <c r="I38" s="97">
        <f t="shared" si="9"/>
        <v>0</v>
      </c>
      <c r="J38" s="97">
        <f t="shared" si="9"/>
        <v>0</v>
      </c>
      <c r="K38" s="95">
        <f t="shared" si="9"/>
        <v>0</v>
      </c>
      <c r="L38" s="96">
        <f t="shared" si="9"/>
        <v>0</v>
      </c>
      <c r="M38" s="97">
        <f t="shared" si="9"/>
        <v>0</v>
      </c>
      <c r="N38" s="97">
        <f t="shared" si="9"/>
        <v>0</v>
      </c>
      <c r="O38" s="95">
        <f t="shared" si="9"/>
        <v>0</v>
      </c>
      <c r="P38" s="96">
        <f t="shared" si="9"/>
        <v>0</v>
      </c>
      <c r="Q38" s="97">
        <f t="shared" si="9"/>
        <v>0</v>
      </c>
      <c r="R38" s="97">
        <f t="shared" si="9"/>
        <v>0</v>
      </c>
      <c r="S38" s="95">
        <f t="shared" si="9"/>
        <v>0</v>
      </c>
      <c r="T38" s="96">
        <f t="shared" si="9"/>
        <v>0</v>
      </c>
      <c r="U38" s="97">
        <f t="shared" si="9"/>
        <v>0</v>
      </c>
      <c r="V38" s="97">
        <f t="shared" si="9"/>
        <v>0</v>
      </c>
      <c r="W38" s="95">
        <f t="shared" si="9"/>
        <v>0</v>
      </c>
      <c r="X38" s="96">
        <f t="shared" si="9"/>
        <v>0</v>
      </c>
      <c r="Y38" s="97">
        <f t="shared" si="9"/>
        <v>0</v>
      </c>
      <c r="Z38" s="97">
        <f t="shared" si="9"/>
        <v>0</v>
      </c>
      <c r="AA38" s="95">
        <f t="shared" si="9"/>
        <v>0</v>
      </c>
      <c r="AB38" s="96">
        <f t="shared" si="9"/>
        <v>0</v>
      </c>
      <c r="AC38" s="97">
        <f t="shared" si="9"/>
        <v>0</v>
      </c>
      <c r="AD38" s="97">
        <f t="shared" si="9"/>
        <v>0</v>
      </c>
      <c r="AE38" s="95">
        <f t="shared" si="9"/>
        <v>0</v>
      </c>
      <c r="AF38" s="96">
        <f t="shared" si="9"/>
        <v>0</v>
      </c>
      <c r="AG38" s="97">
        <f t="shared" si="9"/>
        <v>0</v>
      </c>
      <c r="AH38" s="97">
        <f t="shared" si="9"/>
        <v>0</v>
      </c>
      <c r="AI38" s="95">
        <f t="shared" si="9"/>
        <v>0</v>
      </c>
      <c r="AJ38" s="96">
        <f t="shared" si="9"/>
        <v>0</v>
      </c>
      <c r="AK38" s="97">
        <f t="shared" si="9"/>
        <v>0</v>
      </c>
      <c r="AL38" s="97">
        <f t="shared" si="9"/>
        <v>0</v>
      </c>
      <c r="AM38" s="95">
        <f t="shared" si="9"/>
        <v>0</v>
      </c>
      <c r="AN38" s="96">
        <f t="shared" si="9"/>
        <v>0</v>
      </c>
      <c r="AO38" s="97">
        <f t="shared" si="9"/>
        <v>0</v>
      </c>
      <c r="AP38" s="97">
        <f t="shared" si="9"/>
        <v>0</v>
      </c>
      <c r="AQ38" s="95">
        <f t="shared" si="9"/>
        <v>0</v>
      </c>
      <c r="AR38" s="96">
        <f t="shared" si="9"/>
        <v>0</v>
      </c>
      <c r="AS38" s="97">
        <f t="shared" si="9"/>
        <v>0</v>
      </c>
      <c r="AT38" s="97">
        <f t="shared" si="9"/>
        <v>0</v>
      </c>
      <c r="AU38" s="95">
        <f t="shared" si="9"/>
        <v>0</v>
      </c>
      <c r="AV38" s="96">
        <f t="shared" si="9"/>
        <v>0</v>
      </c>
      <c r="AW38" s="97">
        <f t="shared" si="9"/>
        <v>0</v>
      </c>
      <c r="AX38" s="97">
        <f t="shared" si="9"/>
        <v>0</v>
      </c>
      <c r="AY38" s="95">
        <f t="shared" si="9"/>
        <v>0</v>
      </c>
      <c r="AZ38" s="96">
        <f t="shared" si="9"/>
        <v>0</v>
      </c>
      <c r="BA38" s="97">
        <f t="shared" si="9"/>
        <v>0</v>
      </c>
      <c r="BB38" s="97">
        <f t="shared" si="9"/>
        <v>0</v>
      </c>
      <c r="BC38" s="95">
        <f t="shared" si="9"/>
        <v>0</v>
      </c>
      <c r="BD38" s="825"/>
    </row>
    <row r="39" spans="1:56" s="107" customFormat="1" ht="15" customHeight="1" x14ac:dyDescent="0.25">
      <c r="A39" s="844">
        <v>2.1</v>
      </c>
      <c r="B39" s="833" t="s">
        <v>163</v>
      </c>
      <c r="C39" s="165"/>
      <c r="D39" s="835" t="s">
        <v>232</v>
      </c>
      <c r="E39" s="835"/>
      <c r="F39" s="846" t="e">
        <f>SUM(H40:BC40)/SUM(H39:BC39)</f>
        <v>#DIV/0!</v>
      </c>
      <c r="G39" s="108" t="s">
        <v>12</v>
      </c>
      <c r="H39" s="100"/>
      <c r="I39" s="101"/>
      <c r="J39" s="101"/>
      <c r="K39" s="102"/>
      <c r="L39" s="103"/>
      <c r="M39" s="104"/>
      <c r="N39" s="104"/>
      <c r="O39" s="105"/>
      <c r="P39" s="103"/>
      <c r="Q39" s="104"/>
      <c r="R39" s="104"/>
      <c r="S39" s="106"/>
      <c r="T39" s="100"/>
      <c r="U39" s="101"/>
      <c r="V39" s="101"/>
      <c r="W39" s="102"/>
      <c r="X39" s="100"/>
      <c r="Y39" s="101"/>
      <c r="Z39" s="101"/>
      <c r="AA39" s="102"/>
      <c r="AB39" s="100"/>
      <c r="AC39" s="101"/>
      <c r="AD39" s="101"/>
      <c r="AE39" s="102"/>
      <c r="AF39" s="100"/>
      <c r="AG39" s="101"/>
      <c r="AH39" s="101"/>
      <c r="AI39" s="102"/>
      <c r="AJ39" s="100"/>
      <c r="AK39" s="101"/>
      <c r="AL39" s="101"/>
      <c r="AM39" s="102"/>
      <c r="AN39" s="100"/>
      <c r="AO39" s="101"/>
      <c r="AP39" s="101"/>
      <c r="AQ39" s="102"/>
      <c r="AR39" s="100"/>
      <c r="AS39" s="101"/>
      <c r="AT39" s="101"/>
      <c r="AU39" s="102"/>
      <c r="AV39" s="100"/>
      <c r="AW39" s="101"/>
      <c r="AX39" s="101"/>
      <c r="AY39" s="102"/>
      <c r="AZ39" s="100"/>
      <c r="BA39" s="101"/>
      <c r="BB39" s="101"/>
      <c r="BC39" s="102"/>
      <c r="BD39" s="825"/>
    </row>
    <row r="40" spans="1:56" s="107" customFormat="1" ht="15.75" customHeight="1" thickBot="1" x14ac:dyDescent="0.3">
      <c r="A40" s="845"/>
      <c r="B40" s="834"/>
      <c r="C40" s="166"/>
      <c r="D40" s="836"/>
      <c r="E40" s="836"/>
      <c r="F40" s="838"/>
      <c r="G40" s="92" t="s">
        <v>11</v>
      </c>
      <c r="H40" s="96"/>
      <c r="I40" s="97"/>
      <c r="J40" s="97"/>
      <c r="K40" s="95"/>
      <c r="L40" s="96"/>
      <c r="M40" s="97"/>
      <c r="N40" s="97"/>
      <c r="O40" s="95"/>
      <c r="P40" s="96"/>
      <c r="Q40" s="97"/>
      <c r="R40" s="97"/>
      <c r="S40" s="94"/>
      <c r="T40" s="96"/>
      <c r="U40" s="97"/>
      <c r="V40" s="97"/>
      <c r="W40" s="95"/>
      <c r="X40" s="96"/>
      <c r="Y40" s="97"/>
      <c r="Z40" s="97"/>
      <c r="AA40" s="95"/>
      <c r="AB40" s="96"/>
      <c r="AC40" s="97"/>
      <c r="AD40" s="97"/>
      <c r="AE40" s="95"/>
      <c r="AF40" s="96"/>
      <c r="AG40" s="97"/>
      <c r="AH40" s="97"/>
      <c r="AI40" s="95"/>
      <c r="AJ40" s="96"/>
      <c r="AK40" s="97"/>
      <c r="AL40" s="97"/>
      <c r="AM40" s="95"/>
      <c r="AN40" s="96"/>
      <c r="AO40" s="97"/>
      <c r="AP40" s="97"/>
      <c r="AQ40" s="95"/>
      <c r="AR40" s="96"/>
      <c r="AS40" s="97"/>
      <c r="AT40" s="97"/>
      <c r="AU40" s="95"/>
      <c r="AV40" s="96"/>
      <c r="AW40" s="97"/>
      <c r="AX40" s="97"/>
      <c r="AY40" s="95"/>
      <c r="AZ40" s="96"/>
      <c r="BA40" s="97"/>
      <c r="BB40" s="97"/>
      <c r="BC40" s="95"/>
      <c r="BD40" s="825"/>
    </row>
    <row r="41" spans="1:56" s="107" customFormat="1" ht="15" customHeight="1" x14ac:dyDescent="0.25">
      <c r="A41" s="844">
        <v>2.2000000000000002</v>
      </c>
      <c r="B41" s="833" t="s">
        <v>164</v>
      </c>
      <c r="C41" s="165"/>
      <c r="D41" s="835" t="s">
        <v>232</v>
      </c>
      <c r="E41" s="835"/>
      <c r="F41" s="837" t="e">
        <f>SUM(H42:BC42)/SUM(H41:BC41)</f>
        <v>#DIV/0!</v>
      </c>
      <c r="G41" s="91" t="s">
        <v>12</v>
      </c>
      <c r="H41" s="103"/>
      <c r="I41" s="104"/>
      <c r="J41" s="104"/>
      <c r="K41" s="105"/>
      <c r="L41" s="103"/>
      <c r="M41" s="104"/>
      <c r="N41" s="104"/>
      <c r="O41" s="105"/>
      <c r="P41" s="103"/>
      <c r="Q41" s="104"/>
      <c r="R41" s="104"/>
      <c r="S41" s="106"/>
      <c r="T41" s="100"/>
      <c r="U41" s="101"/>
      <c r="V41" s="101"/>
      <c r="W41" s="102"/>
      <c r="X41" s="100"/>
      <c r="Y41" s="101"/>
      <c r="Z41" s="101"/>
      <c r="AA41" s="102"/>
      <c r="AB41" s="100"/>
      <c r="AC41" s="101"/>
      <c r="AD41" s="101"/>
      <c r="AE41" s="102"/>
      <c r="AF41" s="100"/>
      <c r="AG41" s="101"/>
      <c r="AH41" s="101"/>
      <c r="AI41" s="102"/>
      <c r="AJ41" s="100"/>
      <c r="AK41" s="101"/>
      <c r="AL41" s="101"/>
      <c r="AM41" s="102"/>
      <c r="AN41" s="100"/>
      <c r="AO41" s="101"/>
      <c r="AP41" s="101"/>
      <c r="AQ41" s="102"/>
      <c r="AR41" s="100"/>
      <c r="AS41" s="101"/>
      <c r="AT41" s="101"/>
      <c r="AU41" s="102"/>
      <c r="AV41" s="100"/>
      <c r="AW41" s="101"/>
      <c r="AX41" s="101"/>
      <c r="AY41" s="102"/>
      <c r="AZ41" s="100"/>
      <c r="BA41" s="101"/>
      <c r="BB41" s="101"/>
      <c r="BC41" s="102"/>
      <c r="BD41" s="825"/>
    </row>
    <row r="42" spans="1:56" s="107" customFormat="1" ht="15.75" customHeight="1" thickBot="1" x14ac:dyDescent="0.3">
      <c r="A42" s="845"/>
      <c r="B42" s="834"/>
      <c r="C42" s="166"/>
      <c r="D42" s="836"/>
      <c r="E42" s="836"/>
      <c r="F42" s="838"/>
      <c r="G42" s="92" t="s">
        <v>11</v>
      </c>
      <c r="H42" s="96"/>
      <c r="I42" s="97"/>
      <c r="J42" s="97"/>
      <c r="K42" s="95"/>
      <c r="L42" s="96"/>
      <c r="M42" s="97"/>
      <c r="N42" s="97"/>
      <c r="O42" s="95"/>
      <c r="P42" s="96"/>
      <c r="Q42" s="97"/>
      <c r="R42" s="97"/>
      <c r="S42" s="94"/>
      <c r="T42" s="96"/>
      <c r="U42" s="97"/>
      <c r="V42" s="97"/>
      <c r="W42" s="95"/>
      <c r="X42" s="96"/>
      <c r="Y42" s="97"/>
      <c r="Z42" s="97"/>
      <c r="AA42" s="95"/>
      <c r="AB42" s="96"/>
      <c r="AC42" s="97"/>
      <c r="AD42" s="97"/>
      <c r="AE42" s="95"/>
      <c r="AF42" s="96"/>
      <c r="AG42" s="97"/>
      <c r="AH42" s="97"/>
      <c r="AI42" s="95"/>
      <c r="AJ42" s="96"/>
      <c r="AK42" s="97"/>
      <c r="AL42" s="97"/>
      <c r="AM42" s="95"/>
      <c r="AN42" s="96"/>
      <c r="AO42" s="97"/>
      <c r="AP42" s="97"/>
      <c r="AQ42" s="95"/>
      <c r="AR42" s="96"/>
      <c r="AS42" s="97"/>
      <c r="AT42" s="97"/>
      <c r="AU42" s="95"/>
      <c r="AV42" s="96"/>
      <c r="AW42" s="97"/>
      <c r="AX42" s="97"/>
      <c r="AY42" s="95"/>
      <c r="AZ42" s="96"/>
      <c r="BA42" s="97"/>
      <c r="BB42" s="97"/>
      <c r="BC42" s="95"/>
      <c r="BD42" s="825"/>
    </row>
    <row r="43" spans="1:56" s="107" customFormat="1" ht="15" customHeight="1" x14ac:dyDescent="0.25">
      <c r="A43" s="844">
        <v>2.2999999999999998</v>
      </c>
      <c r="B43" s="833" t="s">
        <v>165</v>
      </c>
      <c r="C43" s="165"/>
      <c r="D43" s="835" t="s">
        <v>232</v>
      </c>
      <c r="E43" s="835"/>
      <c r="F43" s="837" t="e">
        <f>SUM(H44:BC44)/SUM(H43:BC43)</f>
        <v>#DIV/0!</v>
      </c>
      <c r="G43" s="91" t="s">
        <v>12</v>
      </c>
      <c r="H43" s="103"/>
      <c r="I43" s="104"/>
      <c r="J43" s="104"/>
      <c r="K43" s="105"/>
      <c r="L43" s="103"/>
      <c r="M43" s="104"/>
      <c r="N43" s="104"/>
      <c r="O43" s="105"/>
      <c r="P43" s="103"/>
      <c r="Q43" s="104"/>
      <c r="R43" s="104"/>
      <c r="S43" s="106"/>
      <c r="T43" s="100"/>
      <c r="U43" s="101"/>
      <c r="V43" s="101"/>
      <c r="W43" s="102"/>
      <c r="X43" s="100"/>
      <c r="Y43" s="101"/>
      <c r="Z43" s="101"/>
      <c r="AA43" s="102"/>
      <c r="AB43" s="100"/>
      <c r="AC43" s="101"/>
      <c r="AD43" s="101"/>
      <c r="AE43" s="102"/>
      <c r="AF43" s="100"/>
      <c r="AG43" s="101"/>
      <c r="AH43" s="101"/>
      <c r="AI43" s="102"/>
      <c r="AJ43" s="100"/>
      <c r="AK43" s="101"/>
      <c r="AL43" s="101"/>
      <c r="AM43" s="102"/>
      <c r="AN43" s="100"/>
      <c r="AO43" s="101"/>
      <c r="AP43" s="101"/>
      <c r="AQ43" s="102"/>
      <c r="AR43" s="100"/>
      <c r="AS43" s="101"/>
      <c r="AT43" s="101"/>
      <c r="AU43" s="102"/>
      <c r="AV43" s="100"/>
      <c r="AW43" s="101"/>
      <c r="AX43" s="101"/>
      <c r="AY43" s="102"/>
      <c r="AZ43" s="100"/>
      <c r="BA43" s="101"/>
      <c r="BB43" s="101"/>
      <c r="BC43" s="102"/>
      <c r="BD43" s="825"/>
    </row>
    <row r="44" spans="1:56" s="107" customFormat="1" ht="20.25" customHeight="1" thickBot="1" x14ac:dyDescent="0.3">
      <c r="A44" s="845"/>
      <c r="B44" s="834"/>
      <c r="C44" s="166"/>
      <c r="D44" s="836"/>
      <c r="E44" s="836"/>
      <c r="F44" s="838"/>
      <c r="G44" s="92" t="s">
        <v>11</v>
      </c>
      <c r="H44" s="96"/>
      <c r="I44" s="97"/>
      <c r="J44" s="97"/>
      <c r="K44" s="95"/>
      <c r="L44" s="96"/>
      <c r="M44" s="97"/>
      <c r="N44" s="97"/>
      <c r="O44" s="95"/>
      <c r="P44" s="96"/>
      <c r="Q44" s="97"/>
      <c r="R44" s="97"/>
      <c r="S44" s="94"/>
      <c r="T44" s="96"/>
      <c r="U44" s="97"/>
      <c r="V44" s="97"/>
      <c r="W44" s="95"/>
      <c r="X44" s="96"/>
      <c r="Y44" s="97"/>
      <c r="Z44" s="97"/>
      <c r="AA44" s="95"/>
      <c r="AB44" s="96"/>
      <c r="AC44" s="97"/>
      <c r="AD44" s="97"/>
      <c r="AE44" s="95"/>
      <c r="AF44" s="96"/>
      <c r="AG44" s="97"/>
      <c r="AH44" s="97"/>
      <c r="AI44" s="95"/>
      <c r="AJ44" s="96"/>
      <c r="AK44" s="97"/>
      <c r="AL44" s="97"/>
      <c r="AM44" s="95"/>
      <c r="AN44" s="96"/>
      <c r="AO44" s="97"/>
      <c r="AP44" s="97"/>
      <c r="AQ44" s="95"/>
      <c r="AR44" s="96"/>
      <c r="AS44" s="97"/>
      <c r="AT44" s="97"/>
      <c r="AU44" s="95"/>
      <c r="AV44" s="96"/>
      <c r="AW44" s="97"/>
      <c r="AX44" s="97"/>
      <c r="AY44" s="95"/>
      <c r="AZ44" s="96"/>
      <c r="BA44" s="97"/>
      <c r="BB44" s="97"/>
      <c r="BC44" s="95"/>
      <c r="BD44" s="825"/>
    </row>
    <row r="45" spans="1:56" s="107" customFormat="1" ht="15" customHeight="1" x14ac:dyDescent="0.25">
      <c r="A45" s="844">
        <v>2.4</v>
      </c>
      <c r="B45" s="833" t="s">
        <v>166</v>
      </c>
      <c r="C45" s="165"/>
      <c r="D45" s="835" t="s">
        <v>232</v>
      </c>
      <c r="E45" s="835"/>
      <c r="F45" s="837" t="e">
        <f>SUM(H46:BC46)/SUM(H45:BC45)</f>
        <v>#DIV/0!</v>
      </c>
      <c r="G45" s="91" t="s">
        <v>12</v>
      </c>
      <c r="H45" s="103"/>
      <c r="I45" s="104"/>
      <c r="J45" s="104"/>
      <c r="K45" s="105"/>
      <c r="L45" s="103"/>
      <c r="M45" s="104"/>
      <c r="N45" s="104"/>
      <c r="O45" s="105"/>
      <c r="P45" s="103"/>
      <c r="Q45" s="104"/>
      <c r="R45" s="104"/>
      <c r="S45" s="106"/>
      <c r="T45" s="100"/>
      <c r="U45" s="101"/>
      <c r="V45" s="101"/>
      <c r="W45" s="102"/>
      <c r="X45" s="100"/>
      <c r="Y45" s="101"/>
      <c r="Z45" s="101"/>
      <c r="AA45" s="102"/>
      <c r="AB45" s="100"/>
      <c r="AC45" s="101"/>
      <c r="AD45" s="101"/>
      <c r="AE45" s="102"/>
      <c r="AF45" s="100"/>
      <c r="AG45" s="101"/>
      <c r="AH45" s="101"/>
      <c r="AI45" s="102"/>
      <c r="AJ45" s="100"/>
      <c r="AK45" s="101"/>
      <c r="AL45" s="101"/>
      <c r="AM45" s="102"/>
      <c r="AN45" s="100"/>
      <c r="AO45" s="101"/>
      <c r="AP45" s="101"/>
      <c r="AQ45" s="102"/>
      <c r="AR45" s="100"/>
      <c r="AS45" s="101"/>
      <c r="AT45" s="101"/>
      <c r="AU45" s="102"/>
      <c r="AV45" s="100"/>
      <c r="AW45" s="101"/>
      <c r="AX45" s="101"/>
      <c r="AY45" s="102"/>
      <c r="AZ45" s="100"/>
      <c r="BA45" s="101"/>
      <c r="BB45" s="101"/>
      <c r="BC45" s="102"/>
      <c r="BD45" s="825"/>
    </row>
    <row r="46" spans="1:56" s="107" customFormat="1" ht="25.5" customHeight="1" thickBot="1" x14ac:dyDescent="0.3">
      <c r="A46" s="845"/>
      <c r="B46" s="834"/>
      <c r="C46" s="166"/>
      <c r="D46" s="836"/>
      <c r="E46" s="836"/>
      <c r="F46" s="838"/>
      <c r="G46" s="92" t="s">
        <v>11</v>
      </c>
      <c r="H46" s="109"/>
      <c r="I46" s="98"/>
      <c r="J46" s="98"/>
      <c r="K46" s="99"/>
      <c r="L46" s="96"/>
      <c r="M46" s="97"/>
      <c r="N46" s="97"/>
      <c r="O46" s="95"/>
      <c r="P46" s="96"/>
      <c r="Q46" s="97"/>
      <c r="R46" s="97"/>
      <c r="S46" s="94"/>
      <c r="T46" s="96"/>
      <c r="U46" s="97"/>
      <c r="V46" s="97"/>
      <c r="W46" s="95"/>
      <c r="X46" s="96"/>
      <c r="Y46" s="97"/>
      <c r="Z46" s="97"/>
      <c r="AA46" s="95"/>
      <c r="AB46" s="96"/>
      <c r="AC46" s="97"/>
      <c r="AD46" s="97"/>
      <c r="AE46" s="95"/>
      <c r="AF46" s="96"/>
      <c r="AG46" s="97"/>
      <c r="AH46" s="97"/>
      <c r="AI46" s="95"/>
      <c r="AJ46" s="96"/>
      <c r="AK46" s="97"/>
      <c r="AL46" s="97"/>
      <c r="AM46" s="95"/>
      <c r="AN46" s="96"/>
      <c r="AO46" s="97"/>
      <c r="AP46" s="97"/>
      <c r="AQ46" s="95"/>
      <c r="AR46" s="96"/>
      <c r="AS46" s="97"/>
      <c r="AT46" s="97"/>
      <c r="AU46" s="95"/>
      <c r="AV46" s="96"/>
      <c r="AW46" s="97"/>
      <c r="AX46" s="97"/>
      <c r="AY46" s="95"/>
      <c r="AZ46" s="96"/>
      <c r="BA46" s="97"/>
      <c r="BB46" s="97"/>
      <c r="BC46" s="95"/>
      <c r="BD46" s="825"/>
    </row>
    <row r="47" spans="1:56" s="107" customFormat="1" ht="15" customHeight="1" x14ac:dyDescent="0.25">
      <c r="A47" s="851"/>
      <c r="B47" s="853" t="s">
        <v>261</v>
      </c>
      <c r="C47" s="169"/>
      <c r="D47" s="855" t="s">
        <v>232</v>
      </c>
      <c r="E47" s="855"/>
      <c r="F47" s="847" t="e">
        <f>SUM(H48:BC48)/SUM(H47:BC47)</f>
        <v>#DIV/0!</v>
      </c>
      <c r="G47" s="91" t="s">
        <v>12</v>
      </c>
      <c r="H47" s="103">
        <f>H49+H51+H53+H55+H57</f>
        <v>0</v>
      </c>
      <c r="I47" s="104">
        <f t="shared" ref="I47:BC47" si="10">I49+I51+I53+I55+I57</f>
        <v>0</v>
      </c>
      <c r="J47" s="104">
        <f t="shared" si="10"/>
        <v>0</v>
      </c>
      <c r="K47" s="105">
        <f t="shared" si="10"/>
        <v>0</v>
      </c>
      <c r="L47" s="103">
        <f t="shared" si="10"/>
        <v>0</v>
      </c>
      <c r="M47" s="104">
        <f t="shared" si="10"/>
        <v>0</v>
      </c>
      <c r="N47" s="104">
        <f t="shared" si="10"/>
        <v>0</v>
      </c>
      <c r="O47" s="105">
        <f t="shared" si="10"/>
        <v>0</v>
      </c>
      <c r="P47" s="103">
        <f t="shared" si="10"/>
        <v>0</v>
      </c>
      <c r="Q47" s="104">
        <f t="shared" si="10"/>
        <v>0</v>
      </c>
      <c r="R47" s="104">
        <f t="shared" si="10"/>
        <v>0</v>
      </c>
      <c r="S47" s="105">
        <f t="shared" si="10"/>
        <v>0</v>
      </c>
      <c r="T47" s="103">
        <f t="shared" si="10"/>
        <v>0</v>
      </c>
      <c r="U47" s="101">
        <f t="shared" si="10"/>
        <v>0</v>
      </c>
      <c r="V47" s="104">
        <f t="shared" si="10"/>
        <v>0</v>
      </c>
      <c r="W47" s="102">
        <f t="shared" si="10"/>
        <v>0</v>
      </c>
      <c r="X47" s="103">
        <f t="shared" si="10"/>
        <v>0</v>
      </c>
      <c r="Y47" s="104">
        <f t="shared" si="10"/>
        <v>0</v>
      </c>
      <c r="Z47" s="104">
        <f t="shared" si="10"/>
        <v>0</v>
      </c>
      <c r="AA47" s="105">
        <f t="shared" si="10"/>
        <v>0</v>
      </c>
      <c r="AB47" s="103">
        <f t="shared" si="10"/>
        <v>0</v>
      </c>
      <c r="AC47" s="101">
        <f t="shared" si="10"/>
        <v>0</v>
      </c>
      <c r="AD47" s="104">
        <f t="shared" si="10"/>
        <v>0</v>
      </c>
      <c r="AE47" s="102">
        <f t="shared" si="10"/>
        <v>0</v>
      </c>
      <c r="AF47" s="103">
        <f t="shared" si="10"/>
        <v>0</v>
      </c>
      <c r="AG47" s="101">
        <f t="shared" si="10"/>
        <v>0</v>
      </c>
      <c r="AH47" s="104">
        <f t="shared" si="10"/>
        <v>0</v>
      </c>
      <c r="AI47" s="102">
        <f t="shared" si="10"/>
        <v>0</v>
      </c>
      <c r="AJ47" s="103">
        <f t="shared" si="10"/>
        <v>0</v>
      </c>
      <c r="AK47" s="101">
        <f t="shared" si="10"/>
        <v>0</v>
      </c>
      <c r="AL47" s="104">
        <f t="shared" si="10"/>
        <v>0</v>
      </c>
      <c r="AM47" s="102">
        <f t="shared" si="10"/>
        <v>0</v>
      </c>
      <c r="AN47" s="103">
        <f t="shared" si="10"/>
        <v>0</v>
      </c>
      <c r="AO47" s="104">
        <f t="shared" si="10"/>
        <v>0</v>
      </c>
      <c r="AP47" s="104">
        <f t="shared" si="10"/>
        <v>0</v>
      </c>
      <c r="AQ47" s="105">
        <f t="shared" si="10"/>
        <v>0</v>
      </c>
      <c r="AR47" s="103">
        <f t="shared" si="10"/>
        <v>0</v>
      </c>
      <c r="AS47" s="104">
        <f t="shared" si="10"/>
        <v>0</v>
      </c>
      <c r="AT47" s="104">
        <f t="shared" si="10"/>
        <v>0</v>
      </c>
      <c r="AU47" s="105">
        <f t="shared" si="10"/>
        <v>0</v>
      </c>
      <c r="AV47" s="103">
        <f t="shared" si="10"/>
        <v>0</v>
      </c>
      <c r="AW47" s="104">
        <f t="shared" si="10"/>
        <v>0</v>
      </c>
      <c r="AX47" s="104">
        <f t="shared" si="10"/>
        <v>0</v>
      </c>
      <c r="AY47" s="105">
        <f t="shared" si="10"/>
        <v>0</v>
      </c>
      <c r="AZ47" s="103">
        <f t="shared" si="10"/>
        <v>0</v>
      </c>
      <c r="BA47" s="104">
        <f t="shared" si="10"/>
        <v>0</v>
      </c>
      <c r="BB47" s="104">
        <f t="shared" si="10"/>
        <v>0</v>
      </c>
      <c r="BC47" s="105">
        <f t="shared" si="10"/>
        <v>0</v>
      </c>
      <c r="BD47" s="162"/>
    </row>
    <row r="48" spans="1:56" s="107" customFormat="1" ht="15.75" customHeight="1" thickBot="1" x14ac:dyDescent="0.3">
      <c r="A48" s="852"/>
      <c r="B48" s="854"/>
      <c r="C48" s="170"/>
      <c r="D48" s="856"/>
      <c r="E48" s="856"/>
      <c r="F48" s="848"/>
      <c r="G48" s="92" t="s">
        <v>11</v>
      </c>
      <c r="H48" s="96">
        <f>H50+H52+H54+H56+H58</f>
        <v>0</v>
      </c>
      <c r="I48" s="97">
        <f t="shared" ref="I48:BC48" si="11">I50+I52+I54+I56+I58</f>
        <v>0</v>
      </c>
      <c r="J48" s="97">
        <f t="shared" si="11"/>
        <v>0</v>
      </c>
      <c r="K48" s="95">
        <f t="shared" si="11"/>
        <v>0</v>
      </c>
      <c r="L48" s="96">
        <f t="shared" si="11"/>
        <v>0</v>
      </c>
      <c r="M48" s="97">
        <f t="shared" si="11"/>
        <v>0</v>
      </c>
      <c r="N48" s="97">
        <f t="shared" si="11"/>
        <v>0</v>
      </c>
      <c r="O48" s="95">
        <f t="shared" si="11"/>
        <v>0</v>
      </c>
      <c r="P48" s="96">
        <f t="shared" si="11"/>
        <v>0</v>
      </c>
      <c r="Q48" s="97">
        <f t="shared" si="11"/>
        <v>0</v>
      </c>
      <c r="R48" s="97">
        <f t="shared" si="11"/>
        <v>0</v>
      </c>
      <c r="S48" s="95">
        <f t="shared" si="11"/>
        <v>0</v>
      </c>
      <c r="T48" s="96">
        <f t="shared" si="11"/>
        <v>0</v>
      </c>
      <c r="U48" s="97">
        <f t="shared" si="11"/>
        <v>0</v>
      </c>
      <c r="V48" s="97">
        <f t="shared" si="11"/>
        <v>0</v>
      </c>
      <c r="W48" s="95">
        <f t="shared" si="11"/>
        <v>0</v>
      </c>
      <c r="X48" s="96">
        <f t="shared" si="11"/>
        <v>0</v>
      </c>
      <c r="Y48" s="97">
        <f t="shared" si="11"/>
        <v>0</v>
      </c>
      <c r="Z48" s="97">
        <f t="shared" si="11"/>
        <v>0</v>
      </c>
      <c r="AA48" s="95">
        <f t="shared" si="11"/>
        <v>0</v>
      </c>
      <c r="AB48" s="96">
        <f t="shared" si="11"/>
        <v>0</v>
      </c>
      <c r="AC48" s="97">
        <f t="shared" si="11"/>
        <v>0</v>
      </c>
      <c r="AD48" s="97">
        <f t="shared" si="11"/>
        <v>0</v>
      </c>
      <c r="AE48" s="95">
        <f t="shared" si="11"/>
        <v>0</v>
      </c>
      <c r="AF48" s="96">
        <f t="shared" si="11"/>
        <v>0</v>
      </c>
      <c r="AG48" s="97">
        <f t="shared" si="11"/>
        <v>0</v>
      </c>
      <c r="AH48" s="97">
        <f t="shared" si="11"/>
        <v>0</v>
      </c>
      <c r="AI48" s="95">
        <f t="shared" si="11"/>
        <v>0</v>
      </c>
      <c r="AJ48" s="96">
        <f t="shared" si="11"/>
        <v>0</v>
      </c>
      <c r="AK48" s="97">
        <f t="shared" si="11"/>
        <v>0</v>
      </c>
      <c r="AL48" s="97">
        <f t="shared" si="11"/>
        <v>0</v>
      </c>
      <c r="AM48" s="95">
        <f t="shared" si="11"/>
        <v>0</v>
      </c>
      <c r="AN48" s="96">
        <f t="shared" si="11"/>
        <v>0</v>
      </c>
      <c r="AO48" s="97">
        <f t="shared" si="11"/>
        <v>0</v>
      </c>
      <c r="AP48" s="97">
        <f t="shared" si="11"/>
        <v>0</v>
      </c>
      <c r="AQ48" s="95">
        <f t="shared" si="11"/>
        <v>0</v>
      </c>
      <c r="AR48" s="96">
        <f t="shared" si="11"/>
        <v>0</v>
      </c>
      <c r="AS48" s="97">
        <f t="shared" si="11"/>
        <v>0</v>
      </c>
      <c r="AT48" s="97">
        <f t="shared" si="11"/>
        <v>0</v>
      </c>
      <c r="AU48" s="95">
        <f t="shared" si="11"/>
        <v>0</v>
      </c>
      <c r="AV48" s="96">
        <f t="shared" si="11"/>
        <v>0</v>
      </c>
      <c r="AW48" s="97">
        <f t="shared" si="11"/>
        <v>0</v>
      </c>
      <c r="AX48" s="97">
        <f t="shared" si="11"/>
        <v>0</v>
      </c>
      <c r="AY48" s="95">
        <f t="shared" si="11"/>
        <v>0</v>
      </c>
      <c r="AZ48" s="96">
        <f t="shared" si="11"/>
        <v>0</v>
      </c>
      <c r="BA48" s="97">
        <f t="shared" si="11"/>
        <v>0</v>
      </c>
      <c r="BB48" s="97">
        <f t="shared" si="11"/>
        <v>0</v>
      </c>
      <c r="BC48" s="95">
        <f t="shared" si="11"/>
        <v>0</v>
      </c>
      <c r="BD48" s="162"/>
    </row>
    <row r="49" spans="1:56" s="107" customFormat="1" ht="15" customHeight="1" x14ac:dyDescent="0.25">
      <c r="A49" s="851"/>
      <c r="B49" s="853" t="s">
        <v>167</v>
      </c>
      <c r="C49" s="169"/>
      <c r="D49" s="855" t="s">
        <v>232</v>
      </c>
      <c r="E49" s="855"/>
      <c r="F49" s="847" t="e">
        <f>SUM(H50:BC50)/SUM(H49:BC49)</f>
        <v>#DIV/0!</v>
      </c>
      <c r="G49" s="91" t="s">
        <v>12</v>
      </c>
      <c r="H49" s="103">
        <f>H51+H53+H55+H57+H59</f>
        <v>0</v>
      </c>
      <c r="I49" s="104">
        <f t="shared" ref="I49:BC50" si="12">I51+I53+I55+I57+I59</f>
        <v>0</v>
      </c>
      <c r="J49" s="104">
        <f t="shared" si="12"/>
        <v>0</v>
      </c>
      <c r="K49" s="105">
        <f t="shared" si="12"/>
        <v>0</v>
      </c>
      <c r="L49" s="103">
        <f t="shared" si="12"/>
        <v>0</v>
      </c>
      <c r="M49" s="104">
        <f t="shared" si="12"/>
        <v>0</v>
      </c>
      <c r="N49" s="104">
        <f t="shared" si="12"/>
        <v>0</v>
      </c>
      <c r="O49" s="105">
        <f t="shared" si="12"/>
        <v>0</v>
      </c>
      <c r="P49" s="103">
        <f t="shared" si="12"/>
        <v>0</v>
      </c>
      <c r="Q49" s="104">
        <f t="shared" si="12"/>
        <v>0</v>
      </c>
      <c r="R49" s="104">
        <f t="shared" si="12"/>
        <v>0</v>
      </c>
      <c r="S49" s="105">
        <f t="shared" si="12"/>
        <v>0</v>
      </c>
      <c r="T49" s="103">
        <f t="shared" si="12"/>
        <v>0</v>
      </c>
      <c r="U49" s="101">
        <f t="shared" si="12"/>
        <v>0</v>
      </c>
      <c r="V49" s="104">
        <f t="shared" si="12"/>
        <v>0</v>
      </c>
      <c r="W49" s="102">
        <f t="shared" si="12"/>
        <v>0</v>
      </c>
      <c r="X49" s="103">
        <f t="shared" si="12"/>
        <v>0</v>
      </c>
      <c r="Y49" s="104">
        <f t="shared" si="12"/>
        <v>0</v>
      </c>
      <c r="Z49" s="104">
        <f t="shared" si="12"/>
        <v>0</v>
      </c>
      <c r="AA49" s="105">
        <f t="shared" si="12"/>
        <v>0</v>
      </c>
      <c r="AB49" s="103">
        <f t="shared" si="12"/>
        <v>0</v>
      </c>
      <c r="AC49" s="101">
        <f t="shared" si="12"/>
        <v>0</v>
      </c>
      <c r="AD49" s="104">
        <f t="shared" si="12"/>
        <v>0</v>
      </c>
      <c r="AE49" s="102">
        <f t="shared" si="12"/>
        <v>0</v>
      </c>
      <c r="AF49" s="103">
        <f t="shared" si="12"/>
        <v>0</v>
      </c>
      <c r="AG49" s="101">
        <f t="shared" si="12"/>
        <v>0</v>
      </c>
      <c r="AH49" s="104">
        <f t="shared" si="12"/>
        <v>0</v>
      </c>
      <c r="AI49" s="102">
        <f t="shared" si="12"/>
        <v>0</v>
      </c>
      <c r="AJ49" s="103">
        <f t="shared" si="12"/>
        <v>0</v>
      </c>
      <c r="AK49" s="101">
        <f t="shared" si="12"/>
        <v>0</v>
      </c>
      <c r="AL49" s="104">
        <f t="shared" si="12"/>
        <v>0</v>
      </c>
      <c r="AM49" s="102">
        <f t="shared" si="12"/>
        <v>0</v>
      </c>
      <c r="AN49" s="103">
        <f t="shared" si="12"/>
        <v>0</v>
      </c>
      <c r="AO49" s="104">
        <f t="shared" si="12"/>
        <v>0</v>
      </c>
      <c r="AP49" s="104">
        <f t="shared" si="12"/>
        <v>0</v>
      </c>
      <c r="AQ49" s="105">
        <f t="shared" si="12"/>
        <v>0</v>
      </c>
      <c r="AR49" s="103">
        <f t="shared" si="12"/>
        <v>0</v>
      </c>
      <c r="AS49" s="104">
        <f t="shared" si="12"/>
        <v>0</v>
      </c>
      <c r="AT49" s="104">
        <f t="shared" si="12"/>
        <v>0</v>
      </c>
      <c r="AU49" s="105">
        <f t="shared" si="12"/>
        <v>0</v>
      </c>
      <c r="AV49" s="103">
        <f t="shared" si="12"/>
        <v>0</v>
      </c>
      <c r="AW49" s="104">
        <f t="shared" si="12"/>
        <v>0</v>
      </c>
      <c r="AX49" s="104">
        <f t="shared" si="12"/>
        <v>0</v>
      </c>
      <c r="AY49" s="105">
        <f t="shared" si="12"/>
        <v>0</v>
      </c>
      <c r="AZ49" s="103">
        <f t="shared" si="12"/>
        <v>0</v>
      </c>
      <c r="BA49" s="104">
        <f t="shared" si="12"/>
        <v>0</v>
      </c>
      <c r="BB49" s="104">
        <f t="shared" si="12"/>
        <v>0</v>
      </c>
      <c r="BC49" s="105">
        <f t="shared" si="12"/>
        <v>0</v>
      </c>
      <c r="BD49" s="843" t="s">
        <v>246</v>
      </c>
    </row>
    <row r="50" spans="1:56" s="107" customFormat="1" ht="15.75" customHeight="1" thickBot="1" x14ac:dyDescent="0.3">
      <c r="A50" s="852"/>
      <c r="B50" s="854"/>
      <c r="C50" s="170"/>
      <c r="D50" s="856"/>
      <c r="E50" s="856"/>
      <c r="F50" s="848"/>
      <c r="G50" s="92" t="s">
        <v>11</v>
      </c>
      <c r="H50" s="96">
        <f>H52+H54+H56+H58+H60</f>
        <v>0</v>
      </c>
      <c r="I50" s="97">
        <f t="shared" si="12"/>
        <v>0</v>
      </c>
      <c r="J50" s="97">
        <f t="shared" si="12"/>
        <v>0</v>
      </c>
      <c r="K50" s="95">
        <f t="shared" si="12"/>
        <v>0</v>
      </c>
      <c r="L50" s="96">
        <f t="shared" si="12"/>
        <v>0</v>
      </c>
      <c r="M50" s="97">
        <f t="shared" si="12"/>
        <v>0</v>
      </c>
      <c r="N50" s="97">
        <f t="shared" si="12"/>
        <v>0</v>
      </c>
      <c r="O50" s="95">
        <f t="shared" si="12"/>
        <v>0</v>
      </c>
      <c r="P50" s="96">
        <f t="shared" si="12"/>
        <v>0</v>
      </c>
      <c r="Q50" s="97">
        <f t="shared" si="12"/>
        <v>0</v>
      </c>
      <c r="R50" s="97">
        <f t="shared" si="12"/>
        <v>0</v>
      </c>
      <c r="S50" s="95">
        <f t="shared" si="12"/>
        <v>0</v>
      </c>
      <c r="T50" s="96">
        <f t="shared" si="12"/>
        <v>0</v>
      </c>
      <c r="U50" s="97">
        <f t="shared" si="12"/>
        <v>0</v>
      </c>
      <c r="V50" s="97">
        <f t="shared" si="12"/>
        <v>0</v>
      </c>
      <c r="W50" s="95">
        <f t="shared" si="12"/>
        <v>0</v>
      </c>
      <c r="X50" s="96">
        <f t="shared" si="12"/>
        <v>0</v>
      </c>
      <c r="Y50" s="97">
        <f t="shared" si="12"/>
        <v>0</v>
      </c>
      <c r="Z50" s="97">
        <f t="shared" si="12"/>
        <v>0</v>
      </c>
      <c r="AA50" s="95">
        <f t="shared" si="12"/>
        <v>0</v>
      </c>
      <c r="AB50" s="96">
        <f t="shared" si="12"/>
        <v>0</v>
      </c>
      <c r="AC50" s="97">
        <f t="shared" si="12"/>
        <v>0</v>
      </c>
      <c r="AD50" s="97">
        <f t="shared" si="12"/>
        <v>0</v>
      </c>
      <c r="AE50" s="95">
        <f t="shared" si="12"/>
        <v>0</v>
      </c>
      <c r="AF50" s="96">
        <f t="shared" si="12"/>
        <v>0</v>
      </c>
      <c r="AG50" s="97">
        <f t="shared" si="12"/>
        <v>0</v>
      </c>
      <c r="AH50" s="97">
        <f t="shared" si="12"/>
        <v>0</v>
      </c>
      <c r="AI50" s="95">
        <f t="shared" si="12"/>
        <v>0</v>
      </c>
      <c r="AJ50" s="96">
        <f t="shared" si="12"/>
        <v>0</v>
      </c>
      <c r="AK50" s="97">
        <f t="shared" si="12"/>
        <v>0</v>
      </c>
      <c r="AL50" s="97">
        <f t="shared" si="12"/>
        <v>0</v>
      </c>
      <c r="AM50" s="95">
        <f t="shared" si="12"/>
        <v>0</v>
      </c>
      <c r="AN50" s="96">
        <f t="shared" si="12"/>
        <v>0</v>
      </c>
      <c r="AO50" s="97">
        <f t="shared" si="12"/>
        <v>0</v>
      </c>
      <c r="AP50" s="97">
        <f t="shared" si="12"/>
        <v>0</v>
      </c>
      <c r="AQ50" s="95">
        <f t="shared" si="12"/>
        <v>0</v>
      </c>
      <c r="AR50" s="96">
        <f t="shared" si="12"/>
        <v>0</v>
      </c>
      <c r="AS50" s="97">
        <f t="shared" si="12"/>
        <v>0</v>
      </c>
      <c r="AT50" s="97">
        <f t="shared" si="12"/>
        <v>0</v>
      </c>
      <c r="AU50" s="95">
        <f t="shared" si="12"/>
        <v>0</v>
      </c>
      <c r="AV50" s="96">
        <f t="shared" si="12"/>
        <v>0</v>
      </c>
      <c r="AW50" s="97">
        <f t="shared" si="12"/>
        <v>0</v>
      </c>
      <c r="AX50" s="97">
        <f t="shared" si="12"/>
        <v>0</v>
      </c>
      <c r="AY50" s="95">
        <f t="shared" si="12"/>
        <v>0</v>
      </c>
      <c r="AZ50" s="96">
        <f t="shared" si="12"/>
        <v>0</v>
      </c>
      <c r="BA50" s="97">
        <f t="shared" si="12"/>
        <v>0</v>
      </c>
      <c r="BB50" s="97">
        <f t="shared" si="12"/>
        <v>0</v>
      </c>
      <c r="BC50" s="95">
        <f t="shared" si="12"/>
        <v>0</v>
      </c>
      <c r="BD50" s="843"/>
    </row>
    <row r="51" spans="1:56" s="107" customFormat="1" ht="15" customHeight="1" x14ac:dyDescent="0.25">
      <c r="A51" s="844"/>
      <c r="B51" s="857" t="s">
        <v>174</v>
      </c>
      <c r="C51" s="171"/>
      <c r="D51" s="835" t="s">
        <v>229</v>
      </c>
      <c r="E51" s="835"/>
      <c r="F51" s="837" t="e">
        <f>SUM(H52:BC52)/SUM(H51:BC51)</f>
        <v>#DIV/0!</v>
      </c>
      <c r="G51" s="91" t="s">
        <v>12</v>
      </c>
      <c r="H51" s="100"/>
      <c r="I51" s="101"/>
      <c r="J51" s="101"/>
      <c r="K51" s="102"/>
      <c r="L51" s="103"/>
      <c r="M51" s="104"/>
      <c r="N51" s="104"/>
      <c r="O51" s="105"/>
      <c r="P51" s="103"/>
      <c r="Q51" s="104"/>
      <c r="R51" s="104"/>
      <c r="S51" s="106"/>
      <c r="T51" s="103"/>
      <c r="U51" s="104"/>
      <c r="V51" s="104"/>
      <c r="W51" s="102"/>
      <c r="X51" s="103"/>
      <c r="Y51" s="104"/>
      <c r="Z51" s="104"/>
      <c r="AA51" s="105"/>
      <c r="AB51" s="100"/>
      <c r="AC51" s="101"/>
      <c r="AD51" s="101"/>
      <c r="AE51" s="102"/>
      <c r="AF51" s="100"/>
      <c r="AG51" s="101"/>
      <c r="AH51" s="101"/>
      <c r="AI51" s="102"/>
      <c r="AJ51" s="100"/>
      <c r="AK51" s="101"/>
      <c r="AL51" s="101"/>
      <c r="AM51" s="102"/>
      <c r="AN51" s="100"/>
      <c r="AO51" s="101"/>
      <c r="AP51" s="101"/>
      <c r="AQ51" s="102"/>
      <c r="AR51" s="100"/>
      <c r="AS51" s="101"/>
      <c r="AT51" s="101"/>
      <c r="AU51" s="102"/>
      <c r="AV51" s="100"/>
      <c r="AW51" s="101"/>
      <c r="AX51" s="101"/>
      <c r="AY51" s="102"/>
      <c r="AZ51" s="100"/>
      <c r="BA51" s="101"/>
      <c r="BB51" s="101"/>
      <c r="BC51" s="102"/>
      <c r="BD51" s="843"/>
    </row>
    <row r="52" spans="1:56" s="107" customFormat="1" ht="20.25" customHeight="1" thickBot="1" x14ac:dyDescent="0.3">
      <c r="A52" s="845"/>
      <c r="B52" s="858"/>
      <c r="C52" s="172"/>
      <c r="D52" s="836"/>
      <c r="E52" s="836"/>
      <c r="F52" s="838"/>
      <c r="G52" s="92" t="s">
        <v>11</v>
      </c>
      <c r="H52" s="96"/>
      <c r="I52" s="97"/>
      <c r="J52" s="97"/>
      <c r="K52" s="95"/>
      <c r="L52" s="96"/>
      <c r="M52" s="97"/>
      <c r="N52" s="97"/>
      <c r="O52" s="95"/>
      <c r="P52" s="96"/>
      <c r="Q52" s="97"/>
      <c r="R52" s="97"/>
      <c r="S52" s="94"/>
      <c r="T52" s="96"/>
      <c r="U52" s="97"/>
      <c r="V52" s="97"/>
      <c r="W52" s="95"/>
      <c r="X52" s="96"/>
      <c r="Y52" s="97"/>
      <c r="Z52" s="97"/>
      <c r="AA52" s="95"/>
      <c r="AB52" s="96"/>
      <c r="AC52" s="97"/>
      <c r="AD52" s="97"/>
      <c r="AE52" s="95"/>
      <c r="AF52" s="96"/>
      <c r="AG52" s="97"/>
      <c r="AH52" s="97"/>
      <c r="AI52" s="95"/>
      <c r="AJ52" s="96"/>
      <c r="AK52" s="97"/>
      <c r="AL52" s="97"/>
      <c r="AM52" s="95"/>
      <c r="AN52" s="96"/>
      <c r="AO52" s="97"/>
      <c r="AP52" s="97"/>
      <c r="AQ52" s="95"/>
      <c r="AR52" s="96"/>
      <c r="AS52" s="97"/>
      <c r="AT52" s="97"/>
      <c r="AU52" s="95"/>
      <c r="AV52" s="96"/>
      <c r="AW52" s="97"/>
      <c r="AX52" s="97"/>
      <c r="AY52" s="95"/>
      <c r="AZ52" s="96"/>
      <c r="BA52" s="97"/>
      <c r="BB52" s="97"/>
      <c r="BC52" s="95"/>
      <c r="BD52" s="843"/>
    </row>
    <row r="53" spans="1:56" s="107" customFormat="1" ht="15" customHeight="1" x14ac:dyDescent="0.25">
      <c r="A53" s="844"/>
      <c r="B53" s="857" t="s">
        <v>175</v>
      </c>
      <c r="C53" s="171"/>
      <c r="D53" s="835" t="s">
        <v>226</v>
      </c>
      <c r="E53" s="835"/>
      <c r="F53" s="837" t="e">
        <f>SUM(H54:BC54)/SUM(H53:BC53)</f>
        <v>#DIV/0!</v>
      </c>
      <c r="G53" s="91" t="s">
        <v>12</v>
      </c>
      <c r="H53" s="103"/>
      <c r="I53" s="104"/>
      <c r="J53" s="104"/>
      <c r="K53" s="105"/>
      <c r="L53" s="103"/>
      <c r="M53" s="104"/>
      <c r="N53" s="104"/>
      <c r="O53" s="105"/>
      <c r="P53" s="103"/>
      <c r="Q53" s="104"/>
      <c r="R53" s="104"/>
      <c r="S53" s="106"/>
      <c r="T53" s="103"/>
      <c r="U53" s="104"/>
      <c r="V53" s="104"/>
      <c r="W53" s="102"/>
      <c r="X53" s="103"/>
      <c r="Y53" s="104"/>
      <c r="Z53" s="104"/>
      <c r="AA53" s="105"/>
      <c r="AB53" s="100"/>
      <c r="AC53" s="101"/>
      <c r="AD53" s="101"/>
      <c r="AE53" s="102"/>
      <c r="AF53" s="100"/>
      <c r="AG53" s="101"/>
      <c r="AH53" s="101"/>
      <c r="AI53" s="102"/>
      <c r="AJ53" s="100"/>
      <c r="AK53" s="101"/>
      <c r="AL53" s="101"/>
      <c r="AM53" s="102"/>
      <c r="AN53" s="100"/>
      <c r="AO53" s="101"/>
      <c r="AP53" s="101"/>
      <c r="AQ53" s="102"/>
      <c r="AR53" s="100"/>
      <c r="AS53" s="101"/>
      <c r="AT53" s="101"/>
      <c r="AU53" s="102"/>
      <c r="AV53" s="100"/>
      <c r="AW53" s="101"/>
      <c r="AX53" s="101"/>
      <c r="AY53" s="102"/>
      <c r="AZ53" s="100"/>
      <c r="BA53" s="101"/>
      <c r="BB53" s="101"/>
      <c r="BC53" s="102"/>
      <c r="BD53" s="843"/>
    </row>
    <row r="54" spans="1:56" s="107" customFormat="1" ht="25.5" customHeight="1" thickBot="1" x14ac:dyDescent="0.3">
      <c r="A54" s="845"/>
      <c r="B54" s="858"/>
      <c r="C54" s="172"/>
      <c r="D54" s="836"/>
      <c r="E54" s="836"/>
      <c r="F54" s="838"/>
      <c r="G54" s="92" t="s">
        <v>11</v>
      </c>
      <c r="H54" s="96"/>
      <c r="I54" s="97"/>
      <c r="J54" s="97"/>
      <c r="K54" s="95"/>
      <c r="L54" s="96"/>
      <c r="M54" s="97"/>
      <c r="N54" s="97"/>
      <c r="O54" s="95"/>
      <c r="P54" s="96"/>
      <c r="Q54" s="97"/>
      <c r="R54" s="97"/>
      <c r="S54" s="94"/>
      <c r="T54" s="96"/>
      <c r="U54" s="97"/>
      <c r="V54" s="97"/>
      <c r="W54" s="95"/>
      <c r="X54" s="96"/>
      <c r="Y54" s="97"/>
      <c r="Z54" s="97"/>
      <c r="AA54" s="95"/>
      <c r="AB54" s="96"/>
      <c r="AC54" s="97"/>
      <c r="AD54" s="97"/>
      <c r="AE54" s="95"/>
      <c r="AF54" s="96"/>
      <c r="AG54" s="97"/>
      <c r="AH54" s="97"/>
      <c r="AI54" s="95"/>
      <c r="AJ54" s="96"/>
      <c r="AK54" s="97"/>
      <c r="AL54" s="97"/>
      <c r="AM54" s="95"/>
      <c r="AN54" s="96"/>
      <c r="AO54" s="97"/>
      <c r="AP54" s="97"/>
      <c r="AQ54" s="95"/>
      <c r="AR54" s="96"/>
      <c r="AS54" s="97"/>
      <c r="AT54" s="97"/>
      <c r="AU54" s="95"/>
      <c r="AV54" s="96"/>
      <c r="AW54" s="97"/>
      <c r="AX54" s="97"/>
      <c r="AY54" s="95"/>
      <c r="AZ54" s="96"/>
      <c r="BA54" s="97"/>
      <c r="BB54" s="97"/>
      <c r="BC54" s="95"/>
      <c r="BD54" s="843"/>
    </row>
    <row r="55" spans="1:56" s="107" customFormat="1" ht="15" customHeight="1" x14ac:dyDescent="0.25">
      <c r="A55" s="844"/>
      <c r="B55" s="857" t="s">
        <v>176</v>
      </c>
      <c r="C55" s="171"/>
      <c r="D55" s="835" t="s">
        <v>234</v>
      </c>
      <c r="E55" s="835"/>
      <c r="F55" s="837" t="e">
        <f>SUM(H56:BC56)/SUM(H55:BC55)</f>
        <v>#DIV/0!</v>
      </c>
      <c r="G55" s="91" t="s">
        <v>12</v>
      </c>
      <c r="H55" s="103"/>
      <c r="I55" s="104"/>
      <c r="J55" s="104"/>
      <c r="K55" s="105"/>
      <c r="L55" s="103"/>
      <c r="M55" s="104"/>
      <c r="N55" s="104"/>
      <c r="O55" s="105"/>
      <c r="P55" s="103"/>
      <c r="Q55" s="104"/>
      <c r="R55" s="104"/>
      <c r="S55" s="106"/>
      <c r="T55" s="103"/>
      <c r="U55" s="104"/>
      <c r="V55" s="104"/>
      <c r="W55" s="102"/>
      <c r="X55" s="103"/>
      <c r="Y55" s="104"/>
      <c r="Z55" s="104"/>
      <c r="AA55" s="105"/>
      <c r="AB55" s="100"/>
      <c r="AC55" s="101"/>
      <c r="AD55" s="101"/>
      <c r="AE55" s="102"/>
      <c r="AF55" s="100"/>
      <c r="AG55" s="101"/>
      <c r="AH55" s="101"/>
      <c r="AI55" s="102"/>
      <c r="AJ55" s="100"/>
      <c r="AK55" s="101"/>
      <c r="AL55" s="101"/>
      <c r="AM55" s="102"/>
      <c r="AN55" s="100"/>
      <c r="AO55" s="101"/>
      <c r="AP55" s="101"/>
      <c r="AQ55" s="102"/>
      <c r="AR55" s="100"/>
      <c r="AS55" s="101"/>
      <c r="AT55" s="101"/>
      <c r="AU55" s="102"/>
      <c r="AV55" s="100"/>
      <c r="AW55" s="101"/>
      <c r="AX55" s="101"/>
      <c r="AY55" s="102"/>
      <c r="AZ55" s="100"/>
      <c r="BA55" s="101"/>
      <c r="BB55" s="101"/>
      <c r="BC55" s="102"/>
      <c r="BD55" s="843"/>
    </row>
    <row r="56" spans="1:56" s="107" customFormat="1" ht="20.25" customHeight="1" thickBot="1" x14ac:dyDescent="0.3">
      <c r="A56" s="845"/>
      <c r="B56" s="858"/>
      <c r="C56" s="172"/>
      <c r="D56" s="836"/>
      <c r="E56" s="836"/>
      <c r="F56" s="838"/>
      <c r="G56" s="92" t="s">
        <v>11</v>
      </c>
      <c r="H56" s="96"/>
      <c r="I56" s="97"/>
      <c r="J56" s="97"/>
      <c r="K56" s="95"/>
      <c r="L56" s="96"/>
      <c r="M56" s="97"/>
      <c r="N56" s="97"/>
      <c r="O56" s="95"/>
      <c r="P56" s="96"/>
      <c r="Q56" s="97"/>
      <c r="R56" s="97"/>
      <c r="S56" s="94"/>
      <c r="T56" s="96"/>
      <c r="U56" s="97"/>
      <c r="V56" s="97"/>
      <c r="W56" s="95"/>
      <c r="X56" s="96"/>
      <c r="Y56" s="97"/>
      <c r="Z56" s="97"/>
      <c r="AA56" s="95"/>
      <c r="AB56" s="96"/>
      <c r="AC56" s="97"/>
      <c r="AD56" s="97"/>
      <c r="AE56" s="95"/>
      <c r="AF56" s="96"/>
      <c r="AG56" s="97"/>
      <c r="AH56" s="97"/>
      <c r="AI56" s="95"/>
      <c r="AJ56" s="96"/>
      <c r="AK56" s="97"/>
      <c r="AL56" s="97"/>
      <c r="AM56" s="95"/>
      <c r="AN56" s="96"/>
      <c r="AO56" s="97"/>
      <c r="AP56" s="97"/>
      <c r="AQ56" s="95"/>
      <c r="AR56" s="96"/>
      <c r="AS56" s="97"/>
      <c r="AT56" s="97"/>
      <c r="AU56" s="95"/>
      <c r="AV56" s="96"/>
      <c r="AW56" s="97"/>
      <c r="AX56" s="97"/>
      <c r="AY56" s="95"/>
      <c r="AZ56" s="96"/>
      <c r="BA56" s="97"/>
      <c r="BB56" s="97"/>
      <c r="BC56" s="95"/>
      <c r="BD56" s="843"/>
    </row>
    <row r="57" spans="1:56" s="107" customFormat="1" ht="15" customHeight="1" x14ac:dyDescent="0.25">
      <c r="A57" s="844"/>
      <c r="B57" s="857" t="s">
        <v>177</v>
      </c>
      <c r="C57" s="171"/>
      <c r="D57" s="835" t="s">
        <v>233</v>
      </c>
      <c r="E57" s="835"/>
      <c r="F57" s="837" t="e">
        <f>SUM(H58:BC58)/SUM(H57:BC57)</f>
        <v>#DIV/0!</v>
      </c>
      <c r="G57" s="91" t="s">
        <v>12</v>
      </c>
      <c r="H57" s="103"/>
      <c r="I57" s="104"/>
      <c r="J57" s="104"/>
      <c r="K57" s="105"/>
      <c r="L57" s="103"/>
      <c r="M57" s="104"/>
      <c r="N57" s="104"/>
      <c r="O57" s="105"/>
      <c r="P57" s="103"/>
      <c r="Q57" s="104"/>
      <c r="R57" s="104"/>
      <c r="S57" s="106"/>
      <c r="T57" s="103"/>
      <c r="U57" s="104"/>
      <c r="V57" s="104"/>
      <c r="W57" s="102"/>
      <c r="X57" s="103"/>
      <c r="Y57" s="104"/>
      <c r="Z57" s="104"/>
      <c r="AA57" s="105"/>
      <c r="AB57" s="100"/>
      <c r="AC57" s="101"/>
      <c r="AD57" s="101"/>
      <c r="AE57" s="102"/>
      <c r="AF57" s="100"/>
      <c r="AG57" s="101"/>
      <c r="AH57" s="101"/>
      <c r="AI57" s="102"/>
      <c r="AJ57" s="100"/>
      <c r="AK57" s="101"/>
      <c r="AL57" s="101"/>
      <c r="AM57" s="102"/>
      <c r="AN57" s="100"/>
      <c r="AO57" s="101"/>
      <c r="AP57" s="101"/>
      <c r="AQ57" s="102"/>
      <c r="AR57" s="100"/>
      <c r="AS57" s="101"/>
      <c r="AT57" s="101"/>
      <c r="AU57" s="102"/>
      <c r="AV57" s="100"/>
      <c r="AW57" s="101"/>
      <c r="AX57" s="101"/>
      <c r="AY57" s="102"/>
      <c r="AZ57" s="100"/>
      <c r="BA57" s="101"/>
      <c r="BB57" s="101"/>
      <c r="BC57" s="102"/>
      <c r="BD57" s="843"/>
    </row>
    <row r="58" spans="1:56" s="107" customFormat="1" ht="25.5" customHeight="1" thickBot="1" x14ac:dyDescent="0.3">
      <c r="A58" s="845"/>
      <c r="B58" s="858"/>
      <c r="C58" s="172"/>
      <c r="D58" s="836"/>
      <c r="E58" s="836"/>
      <c r="F58" s="838"/>
      <c r="G58" s="92" t="s">
        <v>11</v>
      </c>
      <c r="H58" s="96"/>
      <c r="I58" s="97"/>
      <c r="J58" s="97"/>
      <c r="K58" s="95"/>
      <c r="L58" s="96"/>
      <c r="M58" s="97"/>
      <c r="N58" s="97"/>
      <c r="O58" s="95"/>
      <c r="P58" s="96"/>
      <c r="Q58" s="97"/>
      <c r="R58" s="97"/>
      <c r="S58" s="94"/>
      <c r="T58" s="96"/>
      <c r="U58" s="97"/>
      <c r="V58" s="97"/>
      <c r="W58" s="95"/>
      <c r="X58" s="96"/>
      <c r="Y58" s="97"/>
      <c r="Z58" s="97"/>
      <c r="AA58" s="95"/>
      <c r="AB58" s="96"/>
      <c r="AC58" s="97"/>
      <c r="AD58" s="97"/>
      <c r="AE58" s="95"/>
      <c r="AF58" s="96"/>
      <c r="AG58" s="97"/>
      <c r="AH58" s="97"/>
      <c r="AI58" s="95"/>
      <c r="AJ58" s="96"/>
      <c r="AK58" s="97"/>
      <c r="AL58" s="97"/>
      <c r="AM58" s="95"/>
      <c r="AN58" s="96"/>
      <c r="AO58" s="97"/>
      <c r="AP58" s="97"/>
      <c r="AQ58" s="95"/>
      <c r="AR58" s="96"/>
      <c r="AS58" s="97"/>
      <c r="AT58" s="97"/>
      <c r="AU58" s="95"/>
      <c r="AV58" s="96"/>
      <c r="AW58" s="97"/>
      <c r="AX58" s="97"/>
      <c r="AY58" s="95"/>
      <c r="AZ58" s="96"/>
      <c r="BA58" s="97"/>
      <c r="BB58" s="97"/>
      <c r="BC58" s="95"/>
      <c r="BD58" s="843"/>
    </row>
    <row r="59" spans="1:56" s="107" customFormat="1" ht="15" customHeight="1" x14ac:dyDescent="0.25">
      <c r="A59" s="844"/>
      <c r="B59" s="857" t="s">
        <v>178</v>
      </c>
      <c r="C59" s="171"/>
      <c r="D59" s="835" t="s">
        <v>234</v>
      </c>
      <c r="E59" s="835"/>
      <c r="F59" s="837" t="e">
        <f>SUM(H60:BC60)/SUM(H59:BC59)</f>
        <v>#DIV/0!</v>
      </c>
      <c r="G59" s="91" t="s">
        <v>12</v>
      </c>
      <c r="H59" s="103"/>
      <c r="I59" s="104"/>
      <c r="J59" s="104"/>
      <c r="K59" s="105"/>
      <c r="L59" s="103"/>
      <c r="M59" s="104"/>
      <c r="N59" s="104"/>
      <c r="O59" s="105"/>
      <c r="P59" s="103"/>
      <c r="Q59" s="104"/>
      <c r="R59" s="104"/>
      <c r="S59" s="106"/>
      <c r="T59" s="103"/>
      <c r="U59" s="104"/>
      <c r="V59" s="104"/>
      <c r="W59" s="102"/>
      <c r="X59" s="103"/>
      <c r="Y59" s="104"/>
      <c r="Z59" s="104"/>
      <c r="AA59" s="105"/>
      <c r="AB59" s="100"/>
      <c r="AC59" s="101"/>
      <c r="AD59" s="101"/>
      <c r="AE59" s="102"/>
      <c r="AF59" s="100"/>
      <c r="AG59" s="101"/>
      <c r="AH59" s="101"/>
      <c r="AI59" s="102"/>
      <c r="AJ59" s="100"/>
      <c r="AK59" s="101"/>
      <c r="AL59" s="101"/>
      <c r="AM59" s="102"/>
      <c r="AN59" s="100"/>
      <c r="AO59" s="101"/>
      <c r="AP59" s="101"/>
      <c r="AQ59" s="102"/>
      <c r="AR59" s="100"/>
      <c r="AS59" s="101"/>
      <c r="AT59" s="101"/>
      <c r="AU59" s="102"/>
      <c r="AV59" s="100"/>
      <c r="AW59" s="101"/>
      <c r="AX59" s="101"/>
      <c r="AY59" s="102"/>
      <c r="AZ59" s="100"/>
      <c r="BA59" s="101"/>
      <c r="BB59" s="101"/>
      <c r="BC59" s="102"/>
      <c r="BD59" s="843"/>
    </row>
    <row r="60" spans="1:56" s="107" customFormat="1" ht="20.25" customHeight="1" thickBot="1" x14ac:dyDescent="0.3">
      <c r="A60" s="845"/>
      <c r="B60" s="858"/>
      <c r="C60" s="172"/>
      <c r="D60" s="836"/>
      <c r="E60" s="836"/>
      <c r="F60" s="838"/>
      <c r="G60" s="92" t="s">
        <v>11</v>
      </c>
      <c r="H60" s="109"/>
      <c r="I60" s="98"/>
      <c r="J60" s="98"/>
      <c r="K60" s="99"/>
      <c r="L60" s="96"/>
      <c r="M60" s="97"/>
      <c r="N60" s="97"/>
      <c r="O60" s="95"/>
      <c r="P60" s="96"/>
      <c r="Q60" s="97"/>
      <c r="R60" s="97"/>
      <c r="S60" s="94"/>
      <c r="T60" s="96"/>
      <c r="U60" s="97"/>
      <c r="V60" s="97"/>
      <c r="W60" s="95"/>
      <c r="X60" s="96"/>
      <c r="Y60" s="97"/>
      <c r="Z60" s="97"/>
      <c r="AA60" s="95"/>
      <c r="AB60" s="96"/>
      <c r="AC60" s="97"/>
      <c r="AD60" s="97"/>
      <c r="AE60" s="95"/>
      <c r="AF60" s="96"/>
      <c r="AG60" s="97"/>
      <c r="AH60" s="97"/>
      <c r="AI60" s="95"/>
      <c r="AJ60" s="96"/>
      <c r="AK60" s="97"/>
      <c r="AL60" s="97"/>
      <c r="AM60" s="95"/>
      <c r="AN60" s="96"/>
      <c r="AO60" s="97"/>
      <c r="AP60" s="97"/>
      <c r="AQ60" s="95"/>
      <c r="AR60" s="96"/>
      <c r="AS60" s="97"/>
      <c r="AT60" s="97"/>
      <c r="AU60" s="95"/>
      <c r="AV60" s="96"/>
      <c r="AW60" s="97"/>
      <c r="AX60" s="97"/>
      <c r="AY60" s="95"/>
      <c r="AZ60" s="96"/>
      <c r="BA60" s="97"/>
      <c r="BB60" s="97"/>
      <c r="BC60" s="95"/>
      <c r="BD60" s="843"/>
    </row>
    <row r="61" spans="1:56" ht="15.75" x14ac:dyDescent="0.25">
      <c r="A61" s="817">
        <v>4</v>
      </c>
      <c r="B61" s="819" t="s">
        <v>168</v>
      </c>
      <c r="C61" s="160"/>
      <c r="D61" s="821"/>
      <c r="E61" s="821"/>
      <c r="F61" s="847">
        <f>SUM(H62:BC62)/SUM(H61:BC61)</f>
        <v>0.5</v>
      </c>
      <c r="G61" s="859"/>
      <c r="H61" s="103">
        <f>H63+H65</f>
        <v>0</v>
      </c>
      <c r="I61" s="104">
        <f t="shared" ref="I61:BC61" si="13">I63+I65</f>
        <v>0</v>
      </c>
      <c r="J61" s="104">
        <f t="shared" si="13"/>
        <v>0</v>
      </c>
      <c r="K61" s="105">
        <f t="shared" si="13"/>
        <v>1</v>
      </c>
      <c r="L61" s="103">
        <f t="shared" si="13"/>
        <v>0</v>
      </c>
      <c r="M61" s="104">
        <f t="shared" si="13"/>
        <v>0</v>
      </c>
      <c r="N61" s="104">
        <f t="shared" si="13"/>
        <v>0</v>
      </c>
      <c r="O61" s="105">
        <f t="shared" si="13"/>
        <v>0</v>
      </c>
      <c r="P61" s="103">
        <f t="shared" si="13"/>
        <v>0</v>
      </c>
      <c r="Q61" s="104">
        <f t="shared" si="13"/>
        <v>0</v>
      </c>
      <c r="R61" s="104">
        <f t="shared" si="13"/>
        <v>0</v>
      </c>
      <c r="S61" s="106">
        <f t="shared" si="13"/>
        <v>0</v>
      </c>
      <c r="T61" s="103">
        <f t="shared" si="13"/>
        <v>0</v>
      </c>
      <c r="U61" s="104">
        <f t="shared" si="13"/>
        <v>0</v>
      </c>
      <c r="V61" s="104">
        <f t="shared" si="13"/>
        <v>0</v>
      </c>
      <c r="W61" s="102">
        <f t="shared" si="13"/>
        <v>0</v>
      </c>
      <c r="X61" s="103">
        <f t="shared" si="13"/>
        <v>0</v>
      </c>
      <c r="Y61" s="104">
        <f t="shared" si="13"/>
        <v>0</v>
      </c>
      <c r="Z61" s="104">
        <f t="shared" si="13"/>
        <v>0</v>
      </c>
      <c r="AA61" s="105">
        <f t="shared" si="13"/>
        <v>0</v>
      </c>
      <c r="AB61" s="103">
        <f t="shared" si="13"/>
        <v>0</v>
      </c>
      <c r="AC61" s="104">
        <f t="shared" si="13"/>
        <v>0</v>
      </c>
      <c r="AD61" s="104">
        <f t="shared" si="13"/>
        <v>0</v>
      </c>
      <c r="AE61" s="105">
        <f t="shared" si="13"/>
        <v>0</v>
      </c>
      <c r="AF61" s="103">
        <f t="shared" si="13"/>
        <v>0</v>
      </c>
      <c r="AG61" s="104">
        <f t="shared" si="13"/>
        <v>0</v>
      </c>
      <c r="AH61" s="104">
        <f t="shared" si="13"/>
        <v>0</v>
      </c>
      <c r="AI61" s="105">
        <f t="shared" si="13"/>
        <v>1</v>
      </c>
      <c r="AJ61" s="103">
        <f t="shared" si="13"/>
        <v>0</v>
      </c>
      <c r="AK61" s="104">
        <f t="shared" si="13"/>
        <v>0</v>
      </c>
      <c r="AL61" s="104">
        <f t="shared" si="13"/>
        <v>0</v>
      </c>
      <c r="AM61" s="105">
        <f t="shared" si="13"/>
        <v>0</v>
      </c>
      <c r="AN61" s="103">
        <f t="shared" si="13"/>
        <v>0</v>
      </c>
      <c r="AO61" s="104">
        <f t="shared" si="13"/>
        <v>0</v>
      </c>
      <c r="AP61" s="104">
        <f t="shared" si="13"/>
        <v>0</v>
      </c>
      <c r="AQ61" s="105">
        <f t="shared" si="13"/>
        <v>0</v>
      </c>
      <c r="AR61" s="103">
        <f t="shared" si="13"/>
        <v>0</v>
      </c>
      <c r="AS61" s="104">
        <f t="shared" si="13"/>
        <v>0</v>
      </c>
      <c r="AT61" s="104">
        <f t="shared" si="13"/>
        <v>0</v>
      </c>
      <c r="AU61" s="105">
        <f t="shared" si="13"/>
        <v>0</v>
      </c>
      <c r="AV61" s="103">
        <f t="shared" si="13"/>
        <v>0</v>
      </c>
      <c r="AW61" s="104">
        <f t="shared" si="13"/>
        <v>0</v>
      </c>
      <c r="AX61" s="104">
        <f t="shared" si="13"/>
        <v>0</v>
      </c>
      <c r="AY61" s="105">
        <f t="shared" si="13"/>
        <v>0</v>
      </c>
      <c r="AZ61" s="103">
        <f t="shared" si="13"/>
        <v>0</v>
      </c>
      <c r="BA61" s="104">
        <f t="shared" si="13"/>
        <v>0</v>
      </c>
      <c r="BB61" s="104">
        <f t="shared" si="13"/>
        <v>0</v>
      </c>
      <c r="BC61" s="105">
        <f t="shared" si="13"/>
        <v>0</v>
      </c>
      <c r="BD61" s="843"/>
    </row>
    <row r="62" spans="1:56" ht="15.75" customHeight="1" thickBot="1" x14ac:dyDescent="0.3">
      <c r="A62" s="818"/>
      <c r="B62" s="820"/>
      <c r="C62" s="161"/>
      <c r="D62" s="822"/>
      <c r="E62" s="822"/>
      <c r="F62" s="848"/>
      <c r="G62" s="850"/>
      <c r="H62" s="96">
        <f>H64+H66</f>
        <v>0</v>
      </c>
      <c r="I62" s="97">
        <f t="shared" ref="I62:BC62" si="14">I64+I66</f>
        <v>0</v>
      </c>
      <c r="J62" s="97">
        <f t="shared" si="14"/>
        <v>0</v>
      </c>
      <c r="K62" s="95">
        <f t="shared" si="14"/>
        <v>1</v>
      </c>
      <c r="L62" s="96">
        <f t="shared" si="14"/>
        <v>0</v>
      </c>
      <c r="M62" s="97">
        <f t="shared" si="14"/>
        <v>0</v>
      </c>
      <c r="N62" s="97">
        <f t="shared" si="14"/>
        <v>0</v>
      </c>
      <c r="O62" s="95">
        <f t="shared" si="14"/>
        <v>0</v>
      </c>
      <c r="P62" s="96">
        <f t="shared" si="14"/>
        <v>0</v>
      </c>
      <c r="Q62" s="97">
        <f t="shared" si="14"/>
        <v>0</v>
      </c>
      <c r="R62" s="97">
        <f t="shared" si="14"/>
        <v>0</v>
      </c>
      <c r="S62" s="94">
        <f t="shared" si="14"/>
        <v>0</v>
      </c>
      <c r="T62" s="96">
        <f t="shared" si="14"/>
        <v>0</v>
      </c>
      <c r="U62" s="97">
        <f t="shared" si="14"/>
        <v>0</v>
      </c>
      <c r="V62" s="97">
        <f t="shared" si="14"/>
        <v>0</v>
      </c>
      <c r="W62" s="95">
        <f t="shared" si="14"/>
        <v>0</v>
      </c>
      <c r="X62" s="96">
        <f t="shared" si="14"/>
        <v>0</v>
      </c>
      <c r="Y62" s="97">
        <f t="shared" si="14"/>
        <v>0</v>
      </c>
      <c r="Z62" s="97">
        <f t="shared" si="14"/>
        <v>0</v>
      </c>
      <c r="AA62" s="95">
        <f t="shared" si="14"/>
        <v>0</v>
      </c>
      <c r="AB62" s="96">
        <f t="shared" si="14"/>
        <v>0</v>
      </c>
      <c r="AC62" s="97">
        <f t="shared" si="14"/>
        <v>0</v>
      </c>
      <c r="AD62" s="97">
        <f t="shared" si="14"/>
        <v>0</v>
      </c>
      <c r="AE62" s="95">
        <f t="shared" si="14"/>
        <v>0</v>
      </c>
      <c r="AF62" s="96">
        <f t="shared" si="14"/>
        <v>0</v>
      </c>
      <c r="AG62" s="97">
        <f t="shared" si="14"/>
        <v>0</v>
      </c>
      <c r="AH62" s="97">
        <f t="shared" si="14"/>
        <v>0</v>
      </c>
      <c r="AI62" s="95">
        <f t="shared" si="14"/>
        <v>0</v>
      </c>
      <c r="AJ62" s="96">
        <f t="shared" si="14"/>
        <v>0</v>
      </c>
      <c r="AK62" s="97">
        <f t="shared" si="14"/>
        <v>0</v>
      </c>
      <c r="AL62" s="97">
        <f t="shared" si="14"/>
        <v>0</v>
      </c>
      <c r="AM62" s="95">
        <f t="shared" si="14"/>
        <v>0</v>
      </c>
      <c r="AN62" s="96">
        <f t="shared" si="14"/>
        <v>0</v>
      </c>
      <c r="AO62" s="97">
        <f t="shared" si="14"/>
        <v>0</v>
      </c>
      <c r="AP62" s="97">
        <f t="shared" si="14"/>
        <v>0</v>
      </c>
      <c r="AQ62" s="95">
        <f t="shared" si="14"/>
        <v>0</v>
      </c>
      <c r="AR62" s="96">
        <f t="shared" si="14"/>
        <v>0</v>
      </c>
      <c r="AS62" s="97">
        <f t="shared" si="14"/>
        <v>0</v>
      </c>
      <c r="AT62" s="97">
        <f t="shared" si="14"/>
        <v>0</v>
      </c>
      <c r="AU62" s="95">
        <f t="shared" si="14"/>
        <v>0</v>
      </c>
      <c r="AV62" s="96">
        <f t="shared" si="14"/>
        <v>0</v>
      </c>
      <c r="AW62" s="97">
        <f t="shared" si="14"/>
        <v>0</v>
      </c>
      <c r="AX62" s="97">
        <f t="shared" si="14"/>
        <v>0</v>
      </c>
      <c r="AY62" s="95">
        <f t="shared" si="14"/>
        <v>0</v>
      </c>
      <c r="AZ62" s="96">
        <f t="shared" si="14"/>
        <v>0</v>
      </c>
      <c r="BA62" s="97">
        <f t="shared" si="14"/>
        <v>0</v>
      </c>
      <c r="BB62" s="97">
        <f t="shared" si="14"/>
        <v>0</v>
      </c>
      <c r="BC62" s="95">
        <f t="shared" si="14"/>
        <v>0</v>
      </c>
      <c r="BD62" s="843"/>
    </row>
    <row r="63" spans="1:56" s="107" customFormat="1" ht="15" customHeight="1" x14ac:dyDescent="0.25">
      <c r="A63" s="844">
        <v>4.0999999999999996</v>
      </c>
      <c r="B63" s="833" t="s">
        <v>169</v>
      </c>
      <c r="C63" s="165"/>
      <c r="D63" s="835" t="s">
        <v>235</v>
      </c>
      <c r="E63" s="835" t="s">
        <v>236</v>
      </c>
      <c r="F63" s="837">
        <f>SUM(H64:BC64)/SUM(H63:BC63)</f>
        <v>0.5</v>
      </c>
      <c r="G63" s="91" t="s">
        <v>12</v>
      </c>
      <c r="H63" s="100"/>
      <c r="I63" s="101"/>
      <c r="J63" s="101"/>
      <c r="K63" s="102">
        <v>1</v>
      </c>
      <c r="L63" s="103"/>
      <c r="M63" s="104"/>
      <c r="N63" s="104"/>
      <c r="O63" s="105"/>
      <c r="P63" s="103"/>
      <c r="Q63" s="104"/>
      <c r="R63" s="104"/>
      <c r="S63" s="106"/>
      <c r="T63" s="103"/>
      <c r="U63" s="101"/>
      <c r="V63" s="104"/>
      <c r="W63" s="102"/>
      <c r="X63" s="103"/>
      <c r="Y63" s="104"/>
      <c r="Z63" s="104"/>
      <c r="AA63" s="105"/>
      <c r="AB63" s="103"/>
      <c r="AC63" s="104"/>
      <c r="AD63" s="104"/>
      <c r="AE63" s="105"/>
      <c r="AF63" s="103"/>
      <c r="AG63" s="104"/>
      <c r="AH63" s="104"/>
      <c r="AI63" s="105">
        <v>1</v>
      </c>
      <c r="AJ63" s="103"/>
      <c r="AK63" s="104"/>
      <c r="AL63" s="104"/>
      <c r="AM63" s="105"/>
      <c r="AN63" s="103"/>
      <c r="AO63" s="104"/>
      <c r="AP63" s="104"/>
      <c r="AQ63" s="105"/>
      <c r="AR63" s="103"/>
      <c r="AS63" s="104"/>
      <c r="AT63" s="104"/>
      <c r="AU63" s="105"/>
      <c r="AV63" s="103"/>
      <c r="AW63" s="104"/>
      <c r="AX63" s="104"/>
      <c r="AY63" s="105"/>
      <c r="AZ63" s="103"/>
      <c r="BA63" s="104"/>
      <c r="BB63" s="104"/>
      <c r="BC63" s="105"/>
      <c r="BD63" s="843"/>
    </row>
    <row r="64" spans="1:56" s="107" customFormat="1" ht="15.75" customHeight="1" thickBot="1" x14ac:dyDescent="0.3">
      <c r="A64" s="845"/>
      <c r="B64" s="834"/>
      <c r="C64" s="166"/>
      <c r="D64" s="836"/>
      <c r="E64" s="836"/>
      <c r="F64" s="838"/>
      <c r="G64" s="92" t="s">
        <v>11</v>
      </c>
      <c r="H64" s="96"/>
      <c r="I64" s="97"/>
      <c r="J64" s="97"/>
      <c r="K64" s="95">
        <v>1</v>
      </c>
      <c r="L64" s="96"/>
      <c r="M64" s="97"/>
      <c r="N64" s="97"/>
      <c r="O64" s="95"/>
      <c r="P64" s="96"/>
      <c r="Q64" s="97"/>
      <c r="R64" s="97"/>
      <c r="S64" s="94"/>
      <c r="T64" s="96"/>
      <c r="U64" s="97"/>
      <c r="V64" s="97"/>
      <c r="W64" s="95"/>
      <c r="X64" s="96"/>
      <c r="Y64" s="97"/>
      <c r="Z64" s="97"/>
      <c r="AA64" s="95"/>
      <c r="AB64" s="96"/>
      <c r="AC64" s="97"/>
      <c r="AD64" s="97"/>
      <c r="AE64" s="95"/>
      <c r="AF64" s="96"/>
      <c r="AG64" s="97"/>
      <c r="AH64" s="97"/>
      <c r="AI64" s="95">
        <v>0</v>
      </c>
      <c r="AJ64" s="96"/>
      <c r="AK64" s="97"/>
      <c r="AL64" s="97"/>
      <c r="AM64" s="95"/>
      <c r="AN64" s="96"/>
      <c r="AO64" s="97"/>
      <c r="AP64" s="97"/>
      <c r="AQ64" s="95"/>
      <c r="AR64" s="96"/>
      <c r="AS64" s="97"/>
      <c r="AT64" s="97"/>
      <c r="AU64" s="95"/>
      <c r="AV64" s="96"/>
      <c r="AW64" s="97"/>
      <c r="AX64" s="97"/>
      <c r="AY64" s="95"/>
      <c r="AZ64" s="96"/>
      <c r="BA64" s="97"/>
      <c r="BB64" s="97"/>
      <c r="BC64" s="95"/>
      <c r="BD64" s="843"/>
    </row>
    <row r="65" spans="1:56" s="107" customFormat="1" ht="15" customHeight="1" x14ac:dyDescent="0.25">
      <c r="A65" s="844">
        <v>4.2</v>
      </c>
      <c r="B65" s="833" t="s">
        <v>170</v>
      </c>
      <c r="C65" s="165"/>
      <c r="D65" s="835" t="s">
        <v>235</v>
      </c>
      <c r="E65" s="835" t="s">
        <v>237</v>
      </c>
      <c r="F65" s="837" t="e">
        <f>SUM(H66:BC66)/SUM(H65:BC65)</f>
        <v>#DIV/0!</v>
      </c>
      <c r="G65" s="91" t="s">
        <v>12</v>
      </c>
      <c r="H65" s="103"/>
      <c r="I65" s="104"/>
      <c r="J65" s="104"/>
      <c r="K65" s="105"/>
      <c r="L65" s="103"/>
      <c r="M65" s="104"/>
      <c r="N65" s="104"/>
      <c r="O65" s="105"/>
      <c r="P65" s="103"/>
      <c r="Q65" s="104"/>
      <c r="R65" s="104"/>
      <c r="S65" s="106"/>
      <c r="T65" s="103"/>
      <c r="U65" s="104"/>
      <c r="V65" s="104"/>
      <c r="W65" s="102"/>
      <c r="X65" s="103"/>
      <c r="Y65" s="104"/>
      <c r="Z65" s="104"/>
      <c r="AA65" s="105"/>
      <c r="AB65" s="103"/>
      <c r="AC65" s="104"/>
      <c r="AD65" s="104"/>
      <c r="AE65" s="105"/>
      <c r="AF65" s="103"/>
      <c r="AG65" s="104"/>
      <c r="AH65" s="104"/>
      <c r="AI65" s="105"/>
      <c r="AJ65" s="103"/>
      <c r="AK65" s="104"/>
      <c r="AL65" s="104"/>
      <c r="AM65" s="105"/>
      <c r="AN65" s="103"/>
      <c r="AO65" s="104"/>
      <c r="AP65" s="104"/>
      <c r="AQ65" s="105"/>
      <c r="AR65" s="103"/>
      <c r="AS65" s="104"/>
      <c r="AT65" s="104"/>
      <c r="AU65" s="105"/>
      <c r="AV65" s="103"/>
      <c r="AW65" s="104"/>
      <c r="AX65" s="104"/>
      <c r="AY65" s="105"/>
      <c r="AZ65" s="103"/>
      <c r="BA65" s="104"/>
      <c r="BB65" s="104"/>
      <c r="BC65" s="105"/>
      <c r="BD65" s="843"/>
    </row>
    <row r="66" spans="1:56" s="107" customFormat="1" ht="15.75" customHeight="1" thickBot="1" x14ac:dyDescent="0.3">
      <c r="A66" s="845"/>
      <c r="B66" s="834"/>
      <c r="C66" s="166"/>
      <c r="D66" s="836"/>
      <c r="E66" s="836"/>
      <c r="F66" s="838"/>
      <c r="G66" s="92" t="s">
        <v>11</v>
      </c>
      <c r="H66" s="96"/>
      <c r="I66" s="97"/>
      <c r="J66" s="97"/>
      <c r="K66" s="95"/>
      <c r="L66" s="96"/>
      <c r="M66" s="97"/>
      <c r="N66" s="97"/>
      <c r="O66" s="95"/>
      <c r="P66" s="96"/>
      <c r="Q66" s="97"/>
      <c r="R66" s="97"/>
      <c r="S66" s="94"/>
      <c r="T66" s="96"/>
      <c r="U66" s="97"/>
      <c r="V66" s="97"/>
      <c r="W66" s="95"/>
      <c r="X66" s="96"/>
      <c r="Y66" s="97"/>
      <c r="Z66" s="97"/>
      <c r="AA66" s="95"/>
      <c r="AB66" s="96"/>
      <c r="AC66" s="97"/>
      <c r="AD66" s="97"/>
      <c r="AE66" s="95"/>
      <c r="AF66" s="96"/>
      <c r="AG66" s="97"/>
      <c r="AH66" s="97"/>
      <c r="AI66" s="95"/>
      <c r="AJ66" s="96"/>
      <c r="AK66" s="97"/>
      <c r="AL66" s="97"/>
      <c r="AM66" s="95"/>
      <c r="AN66" s="96"/>
      <c r="AO66" s="97"/>
      <c r="AP66" s="97"/>
      <c r="AQ66" s="95"/>
      <c r="AR66" s="96"/>
      <c r="AS66" s="97"/>
      <c r="AT66" s="97"/>
      <c r="AU66" s="95"/>
      <c r="AV66" s="96"/>
      <c r="AW66" s="97"/>
      <c r="AX66" s="97"/>
      <c r="AY66" s="95"/>
      <c r="AZ66" s="96"/>
      <c r="BA66" s="97"/>
      <c r="BB66" s="97"/>
      <c r="BC66" s="95"/>
      <c r="BD66" s="843"/>
    </row>
    <row r="69" spans="1:56" ht="15.75" thickBot="1" x14ac:dyDescent="0.3"/>
    <row r="70" spans="1:56" x14ac:dyDescent="0.25">
      <c r="B70" s="63" t="s">
        <v>14</v>
      </c>
      <c r="C70" s="177"/>
      <c r="D70" s="64" t="s">
        <v>135</v>
      </c>
    </row>
    <row r="71" spans="1:56" x14ac:dyDescent="0.25">
      <c r="B71" s="110" t="str">
        <f>B5</f>
        <v>Monitoring visits</v>
      </c>
      <c r="C71" s="178"/>
      <c r="D71" s="66" t="e">
        <f>F5</f>
        <v>#DIV/0!</v>
      </c>
    </row>
    <row r="72" spans="1:56" ht="15" customHeight="1" x14ac:dyDescent="0.25">
      <c r="B72" s="110" t="str">
        <f>B13</f>
        <v>Baseline</v>
      </c>
      <c r="C72" s="178"/>
      <c r="D72" s="67">
        <f>F13</f>
        <v>0</v>
      </c>
    </row>
    <row r="73" spans="1:56" ht="15.75" customHeight="1" x14ac:dyDescent="0.25">
      <c r="B73" s="110" t="str">
        <f>B25</f>
        <v>Endine</v>
      </c>
      <c r="C73" s="178"/>
      <c r="D73" s="67">
        <f>F25</f>
        <v>0</v>
      </c>
    </row>
    <row r="74" spans="1:56" ht="15" customHeight="1" x14ac:dyDescent="0.25">
      <c r="B74" s="110" t="str">
        <f>B37</f>
        <v>Accountability: Feedback and Complaint Mechanism</v>
      </c>
      <c r="C74" s="178"/>
      <c r="D74" s="66" t="e">
        <f>F37</f>
        <v>#DIV/0!</v>
      </c>
    </row>
    <row r="75" spans="1:56" ht="15.75" customHeight="1" x14ac:dyDescent="0.25">
      <c r="B75" s="110" t="str">
        <f>B49</f>
        <v>Mid-term Review</v>
      </c>
      <c r="C75" s="178"/>
      <c r="D75" s="66" t="e">
        <f>F49</f>
        <v>#DIV/0!</v>
      </c>
    </row>
    <row r="76" spans="1:56" ht="15" customHeight="1" x14ac:dyDescent="0.25">
      <c r="B76" s="110" t="str">
        <f>B61</f>
        <v>Reporting</v>
      </c>
      <c r="C76" s="178"/>
      <c r="D76" s="66">
        <f>F61</f>
        <v>0.5</v>
      </c>
    </row>
    <row r="77" spans="1:56" ht="15" customHeight="1" x14ac:dyDescent="0.25">
      <c r="B77" s="110" t="s">
        <v>181</v>
      </c>
      <c r="C77" s="110"/>
      <c r="D77" s="68" t="e">
        <f>AVERAGE(D71:D76)</f>
        <v>#DIV/0!</v>
      </c>
    </row>
    <row r="78" spans="1:56" ht="15.75" customHeight="1" x14ac:dyDescent="0.25">
      <c r="B78"/>
      <c r="C78"/>
      <c r="D78"/>
    </row>
    <row r="79" spans="1:56" ht="15" customHeight="1" x14ac:dyDescent="0.25">
      <c r="B79"/>
      <c r="C79"/>
      <c r="D79"/>
    </row>
  </sheetData>
  <mergeCells count="175">
    <mergeCell ref="F59:F60"/>
    <mergeCell ref="E65:E66"/>
    <mergeCell ref="F65:F66"/>
    <mergeCell ref="BD61:BD66"/>
    <mergeCell ref="A63:A64"/>
    <mergeCell ref="B63:B64"/>
    <mergeCell ref="D63:D64"/>
    <mergeCell ref="E63:E64"/>
    <mergeCell ref="F63:F64"/>
    <mergeCell ref="A65:A66"/>
    <mergeCell ref="B65:B66"/>
    <mergeCell ref="D65:D66"/>
    <mergeCell ref="A61:A62"/>
    <mergeCell ref="B61:B62"/>
    <mergeCell ref="D61:D62"/>
    <mergeCell ref="E61:E62"/>
    <mergeCell ref="F61:F62"/>
    <mergeCell ref="G61:G62"/>
    <mergeCell ref="A55:A56"/>
    <mergeCell ref="B55:B56"/>
    <mergeCell ref="D55:D56"/>
    <mergeCell ref="E55:E56"/>
    <mergeCell ref="F55:F56"/>
    <mergeCell ref="F49:F50"/>
    <mergeCell ref="BD49:BD60"/>
    <mergeCell ref="A51:A52"/>
    <mergeCell ref="B51:B52"/>
    <mergeCell ref="D51:D52"/>
    <mergeCell ref="E51:E52"/>
    <mergeCell ref="F51:F52"/>
    <mergeCell ref="A53:A54"/>
    <mergeCell ref="B53:B54"/>
    <mergeCell ref="D53:D54"/>
    <mergeCell ref="A57:A58"/>
    <mergeCell ref="B57:B58"/>
    <mergeCell ref="D57:D58"/>
    <mergeCell ref="E57:E58"/>
    <mergeCell ref="F57:F58"/>
    <mergeCell ref="A59:A60"/>
    <mergeCell ref="B59:B60"/>
    <mergeCell ref="D59:D60"/>
    <mergeCell ref="E59:E60"/>
    <mergeCell ref="D45:D46"/>
    <mergeCell ref="E45:E46"/>
    <mergeCell ref="F45:F46"/>
    <mergeCell ref="A49:A50"/>
    <mergeCell ref="B49:B50"/>
    <mergeCell ref="D49:D50"/>
    <mergeCell ref="E49:E50"/>
    <mergeCell ref="E53:E54"/>
    <mergeCell ref="F53:F54"/>
    <mergeCell ref="A47:A48"/>
    <mergeCell ref="B47:B48"/>
    <mergeCell ref="D47:D48"/>
    <mergeCell ref="E47:E48"/>
    <mergeCell ref="F47:F48"/>
    <mergeCell ref="E41:E42"/>
    <mergeCell ref="F41:F42"/>
    <mergeCell ref="A43:A44"/>
    <mergeCell ref="B43:B44"/>
    <mergeCell ref="D43:D44"/>
    <mergeCell ref="E43:E44"/>
    <mergeCell ref="F43:F44"/>
    <mergeCell ref="BD37:BD46"/>
    <mergeCell ref="A39:A40"/>
    <mergeCell ref="B39:B40"/>
    <mergeCell ref="D39:D40"/>
    <mergeCell ref="E39:E40"/>
    <mergeCell ref="F39:F40"/>
    <mergeCell ref="A41:A42"/>
    <mergeCell ref="B41:B42"/>
    <mergeCell ref="D41:D42"/>
    <mergeCell ref="A37:A38"/>
    <mergeCell ref="B37:B38"/>
    <mergeCell ref="D37:D38"/>
    <mergeCell ref="E37:E38"/>
    <mergeCell ref="F37:F38"/>
    <mergeCell ref="G37:G38"/>
    <mergeCell ref="A45:A46"/>
    <mergeCell ref="B45:B46"/>
    <mergeCell ref="BD25:BD36"/>
    <mergeCell ref="B27:B28"/>
    <mergeCell ref="D27:D28"/>
    <mergeCell ref="E27:E28"/>
    <mergeCell ref="F27:F28"/>
    <mergeCell ref="B29:B30"/>
    <mergeCell ref="D29:D30"/>
    <mergeCell ref="E29:E30"/>
    <mergeCell ref="F29:F30"/>
    <mergeCell ref="B31:B32"/>
    <mergeCell ref="A25:A36"/>
    <mergeCell ref="B25:B26"/>
    <mergeCell ref="D25:D26"/>
    <mergeCell ref="E25:E26"/>
    <mergeCell ref="F25:F26"/>
    <mergeCell ref="D31:D32"/>
    <mergeCell ref="E31:E32"/>
    <mergeCell ref="F31:F32"/>
    <mergeCell ref="B33:B34"/>
    <mergeCell ref="D33:D34"/>
    <mergeCell ref="E33:E34"/>
    <mergeCell ref="F33:F34"/>
    <mergeCell ref="B35:B36"/>
    <mergeCell ref="D35:D36"/>
    <mergeCell ref="E35:E36"/>
    <mergeCell ref="F35:F36"/>
    <mergeCell ref="BD13:BD24"/>
    <mergeCell ref="B15:B16"/>
    <mergeCell ref="D15:D16"/>
    <mergeCell ref="E15:E16"/>
    <mergeCell ref="F15:F16"/>
    <mergeCell ref="B17:B18"/>
    <mergeCell ref="D17:D18"/>
    <mergeCell ref="E17:E18"/>
    <mergeCell ref="F17:F18"/>
    <mergeCell ref="B19:B20"/>
    <mergeCell ref="A13:A24"/>
    <mergeCell ref="B13:B14"/>
    <mergeCell ref="D13:D14"/>
    <mergeCell ref="E13:E14"/>
    <mergeCell ref="F13:F14"/>
    <mergeCell ref="D19:D20"/>
    <mergeCell ref="E19:E20"/>
    <mergeCell ref="F19:F20"/>
    <mergeCell ref="B21:B22"/>
    <mergeCell ref="D21:D22"/>
    <mergeCell ref="E21:E22"/>
    <mergeCell ref="F21:F22"/>
    <mergeCell ref="B23:B24"/>
    <mergeCell ref="D23:D24"/>
    <mergeCell ref="E23:E24"/>
    <mergeCell ref="F23:F24"/>
    <mergeCell ref="A3:A4"/>
    <mergeCell ref="B3:B4"/>
    <mergeCell ref="D3:D4"/>
    <mergeCell ref="E3:E4"/>
    <mergeCell ref="F3:F4"/>
    <mergeCell ref="BD3:BD12"/>
    <mergeCell ref="A5:A12"/>
    <mergeCell ref="B5:B6"/>
    <mergeCell ref="D5:D6"/>
    <mergeCell ref="B9:B10"/>
    <mergeCell ref="D9:D10"/>
    <mergeCell ref="E9:E10"/>
    <mergeCell ref="F9:F10"/>
    <mergeCell ref="B11:B12"/>
    <mergeCell ref="D11:D12"/>
    <mergeCell ref="E11:E12"/>
    <mergeCell ref="F11:F12"/>
    <mergeCell ref="E5:E6"/>
    <mergeCell ref="F5:F6"/>
    <mergeCell ref="B7:B8"/>
    <mergeCell ref="D7:D8"/>
    <mergeCell ref="E7:E8"/>
    <mergeCell ref="F7:F8"/>
    <mergeCell ref="AV1:AY1"/>
    <mergeCell ref="AZ1:BC1"/>
    <mergeCell ref="BD1:BD2"/>
    <mergeCell ref="X1:AA1"/>
    <mergeCell ref="AB1:AE1"/>
    <mergeCell ref="AF1:AI1"/>
    <mergeCell ref="AJ1:AM1"/>
    <mergeCell ref="AN1:AQ1"/>
    <mergeCell ref="AR1:AU1"/>
    <mergeCell ref="F1:F2"/>
    <mergeCell ref="G1:G2"/>
    <mergeCell ref="H1:K1"/>
    <mergeCell ref="L1:O1"/>
    <mergeCell ref="P1:S1"/>
    <mergeCell ref="T1:W1"/>
    <mergeCell ref="A1:A2"/>
    <mergeCell ref="B1:B2"/>
    <mergeCell ref="D1:D2"/>
    <mergeCell ref="E1:E2"/>
    <mergeCell ref="C1:C2"/>
  </mergeCells>
  <conditionalFormatting sqref="AD12:BC12">
    <cfRule type="cellIs" dxfId="8" priority="45" operator="equal">
      <formula>1</formula>
    </cfRule>
  </conditionalFormatting>
  <conditionalFormatting sqref="AF14:BC14">
    <cfRule type="cellIs" dxfId="7" priority="44" operator="equal">
      <formula>1</formula>
    </cfRule>
  </conditionalFormatting>
  <conditionalFormatting sqref="AD16:BC16">
    <cfRule type="cellIs" dxfId="6" priority="43" operator="equal">
      <formula>1</formula>
    </cfRule>
  </conditionalFormatting>
  <conditionalFormatting sqref="AE26:BC26">
    <cfRule type="cellIs" dxfId="5" priority="38" operator="equal">
      <formula>1</formula>
    </cfRule>
  </conditionalFormatting>
  <conditionalFormatting sqref="AV64:BC64">
    <cfRule type="cellIs" dxfId="4" priority="12" operator="equal">
      <formula>1</formula>
    </cfRule>
  </conditionalFormatting>
  <conditionalFormatting sqref="AV66:BC66">
    <cfRule type="cellIs" dxfId="3" priority="11" operator="equal">
      <formula>1</formula>
    </cfRule>
  </conditionalFormatting>
  <conditionalFormatting sqref="AG8:AH8">
    <cfRule type="cellIs" dxfId="2" priority="7" operator="equal">
      <formula>1</formula>
    </cfRule>
  </conditionalFormatting>
  <conditionalFormatting sqref="AI8">
    <cfRule type="cellIs" dxfId="1" priority="6" operator="equal">
      <formula>1</formula>
    </cfRule>
  </conditionalFormatting>
  <conditionalFormatting sqref="AF8">
    <cfRule type="cellIs" dxfId="0" priority="5" operator="equal">
      <formula>1</formula>
    </cfRule>
  </conditionalFormatting>
  <dataValidations count="2">
    <dataValidation allowBlank="1" showInputMessage="1" showErrorMessage="1" prompt="This sheet is to plan all MEAL activities related to this project in the year planned, it's main responsibility is for the MEAL team, coordinators and project team should also be updated about key MEAL events_x000a_" sqref="B1:B2" xr:uid="{8939A5B2-1D13-46BA-925F-B7C211DC0A4E}"/>
    <dataValidation allowBlank="1" showInputMessage="1" showErrorMessage="1" prompt="Who is responsible among the MEAL team, might be external actor like external evaluator" sqref="D1:D2" xr:uid="{DCDBA6BD-117E-4550-A903-876A450C3154}"/>
  </dataValidations>
  <pageMargins left="0.70866141732283472" right="0.70866141732283472" top="0.74803149606299213" bottom="0.74803149606299213" header="0.31496062992125984" footer="0.31496062992125984"/>
  <pageSetup scale="24" fitToHeight="0" orientation="landscape" r:id="rId1"/>
  <ignoredErrors>
    <ignoredError sqref="D71 D72:D77" unlockedFormula="1"/>
    <ignoredError sqref="T5:BC6" formula="1"/>
    <ignoredError sqref="F49:F66 F3:F46" evalError="1"/>
  </ignoredError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8"/>
  </sheetPr>
  <dimension ref="A1:D10"/>
  <sheetViews>
    <sheetView zoomScale="70" zoomScaleNormal="70" workbookViewId="0">
      <selection activeCell="A2" sqref="A2:D5"/>
    </sheetView>
  </sheetViews>
  <sheetFormatPr defaultColWidth="11.42578125" defaultRowHeight="15" x14ac:dyDescent="0.25"/>
  <cols>
    <col min="1" max="1" width="52.5703125" style="2" customWidth="1"/>
    <col min="2" max="2" width="36.7109375" style="2" customWidth="1"/>
    <col min="3" max="3" width="30.5703125" style="2" customWidth="1"/>
    <col min="4" max="4" width="53.5703125" style="2" customWidth="1"/>
    <col min="5" max="16384" width="11.42578125" style="2"/>
  </cols>
  <sheetData>
    <row r="1" spans="1:4" s="7" customFormat="1" ht="85.5" customHeight="1" x14ac:dyDescent="0.25">
      <c r="A1" s="182" t="s">
        <v>71</v>
      </c>
      <c r="B1" s="182" t="s">
        <v>36</v>
      </c>
      <c r="C1" s="183" t="s">
        <v>37</v>
      </c>
      <c r="D1" s="184" t="s">
        <v>70</v>
      </c>
    </row>
    <row r="2" spans="1:4" ht="63" customHeight="1" x14ac:dyDescent="0.25">
      <c r="A2" s="151"/>
      <c r="B2" s="151"/>
      <c r="C2" s="151"/>
      <c r="D2" s="151"/>
    </row>
    <row r="3" spans="1:4" ht="30" customHeight="1" x14ac:dyDescent="0.25">
      <c r="A3" s="120"/>
      <c r="B3" s="151"/>
      <c r="C3" s="151"/>
      <c r="D3" s="119"/>
    </row>
    <row r="4" spans="1:4" ht="30" customHeight="1" x14ac:dyDescent="0.25">
      <c r="A4" s="151"/>
      <c r="B4" s="151"/>
      <c r="C4" s="151"/>
      <c r="D4" s="119"/>
    </row>
    <row r="5" spans="1:4" ht="36.75" customHeight="1" x14ac:dyDescent="0.25">
      <c r="A5" s="151"/>
      <c r="B5" s="119"/>
      <c r="C5" s="119"/>
      <c r="D5" s="119"/>
    </row>
    <row r="6" spans="1:4" ht="30" customHeight="1" x14ac:dyDescent="0.25">
      <c r="A6" s="119"/>
      <c r="B6" s="119"/>
      <c r="C6" s="119"/>
      <c r="D6" s="119"/>
    </row>
    <row r="7" spans="1:4" ht="30" customHeight="1" x14ac:dyDescent="0.25">
      <c r="A7" s="119"/>
      <c r="B7" s="119"/>
      <c r="C7" s="119"/>
      <c r="D7" s="119"/>
    </row>
    <row r="8" spans="1:4" ht="30" customHeight="1" x14ac:dyDescent="0.25">
      <c r="A8" s="119"/>
      <c r="B8" s="119"/>
      <c r="C8" s="119"/>
      <c r="D8" s="119"/>
    </row>
    <row r="9" spans="1:4" ht="30" customHeight="1" x14ac:dyDescent="0.25">
      <c r="A9" s="119"/>
      <c r="B9" s="119"/>
      <c r="C9" s="119"/>
      <c r="D9" s="119"/>
    </row>
    <row r="10" spans="1:4" x14ac:dyDescent="0.25">
      <c r="A10" s="3"/>
      <c r="B10" s="3"/>
    </row>
  </sheetData>
  <dataValidations count="4">
    <dataValidation type="list" allowBlank="1" showInputMessage="1" showErrorMessage="1" sqref="C2:C9" xr:uid="{00000000-0002-0000-0600-000000000000}">
      <formula1>"YES,ONLY PARTLY,NO"</formula1>
    </dataValidation>
    <dataValidation allowBlank="1" showInputMessage="1" showErrorMessage="1" prompt="assumptions under outcome level" sqref="A3:A9 B2:B9" xr:uid="{00000000-0002-0000-0600-000001000000}"/>
    <dataValidation allowBlank="1" showInputMessage="1" showErrorMessage="1" prompt="list assumptions as stated in the proposal, add new if arise during implementation_x000a_Responsbility is for coordinator/program team to update on regular basis, MEAL also can update based on MEAL findings or activities, MEAL to support and follow up" sqref="A1" xr:uid="{3AE4B762-8951-4F2B-AC74-D90467D85223}"/>
    <dataValidation allowBlank="1" showInputMessage="1" showErrorMessage="1" prompt="List any specific planning consideration to ensure assumptions fullfilment and reduce negative effects on project implementation" sqref="B1" xr:uid="{AE3D4A66-36A1-4600-B160-AD8A5EE948DE}"/>
  </dataValidation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8"/>
  </sheetPr>
  <dimension ref="A1:L73"/>
  <sheetViews>
    <sheetView zoomScale="80" zoomScaleNormal="80" workbookViewId="0"/>
  </sheetViews>
  <sheetFormatPr defaultRowHeight="15" x14ac:dyDescent="0.25"/>
  <cols>
    <col min="1" max="1" width="10.5703125" customWidth="1"/>
    <col min="2" max="4" width="15.5703125" customWidth="1"/>
    <col min="5" max="5" width="18.5703125" customWidth="1"/>
    <col min="6" max="6" width="28.7109375" bestFit="1" customWidth="1"/>
    <col min="7" max="7" width="20.85546875" customWidth="1"/>
    <col min="8" max="8" width="25.140625" customWidth="1"/>
    <col min="9" max="11" width="15.5703125" customWidth="1"/>
    <col min="12" max="12" width="19.28515625" customWidth="1"/>
  </cols>
  <sheetData>
    <row r="1" spans="1:12" s="314" customFormat="1" ht="45.75" x14ac:dyDescent="0.25">
      <c r="A1" s="313" t="s">
        <v>16</v>
      </c>
      <c r="B1" s="313" t="s">
        <v>1</v>
      </c>
      <c r="C1" s="313" t="s">
        <v>14</v>
      </c>
      <c r="D1" s="313" t="s">
        <v>17</v>
      </c>
      <c r="E1" s="313" t="s">
        <v>18</v>
      </c>
      <c r="F1" s="313" t="s">
        <v>19</v>
      </c>
      <c r="G1" s="313" t="s">
        <v>345</v>
      </c>
      <c r="H1" s="313" t="s">
        <v>20</v>
      </c>
      <c r="I1" s="313" t="s">
        <v>262</v>
      </c>
      <c r="J1" s="313" t="s">
        <v>21</v>
      </c>
      <c r="K1" s="313" t="s">
        <v>13</v>
      </c>
      <c r="L1" s="313" t="s">
        <v>22</v>
      </c>
    </row>
    <row r="2" spans="1:12" s="188" customFormat="1" ht="15.75" x14ac:dyDescent="0.25">
      <c r="A2" s="185"/>
      <c r="B2" s="185"/>
      <c r="C2" s="185"/>
      <c r="D2" s="186"/>
      <c r="E2" s="186"/>
      <c r="F2" s="186"/>
      <c r="G2" s="154"/>
      <c r="H2" s="186"/>
      <c r="I2" s="187"/>
      <c r="J2" s="186"/>
      <c r="K2" s="58"/>
      <c r="L2" s="185"/>
    </row>
    <row r="3" spans="1:12" ht="30" customHeight="1" x14ac:dyDescent="0.25">
      <c r="A3" s="153"/>
      <c r="B3" s="153"/>
      <c r="C3" s="153"/>
      <c r="D3" s="186"/>
      <c r="E3" s="152"/>
      <c r="F3" s="152"/>
      <c r="G3" s="155"/>
      <c r="H3" s="152"/>
      <c r="I3" s="156"/>
      <c r="J3" s="1"/>
      <c r="K3" s="185"/>
      <c r="L3" s="1"/>
    </row>
    <row r="4" spans="1:12" ht="30" customHeight="1" x14ac:dyDescent="0.25">
      <c r="A4" s="153"/>
      <c r="B4" s="153"/>
      <c r="C4" s="153"/>
      <c r="D4" s="185"/>
      <c r="E4" s="1"/>
      <c r="F4" s="152"/>
      <c r="G4" s="155"/>
      <c r="H4" s="152"/>
      <c r="I4" s="156"/>
      <c r="J4" s="152"/>
      <c r="K4" s="185"/>
      <c r="L4" s="1"/>
    </row>
    <row r="5" spans="1:12" ht="30" customHeight="1" x14ac:dyDescent="0.25">
      <c r="A5" s="153"/>
      <c r="B5" s="153"/>
      <c r="C5" s="1"/>
      <c r="D5" s="185"/>
      <c r="E5" s="1"/>
      <c r="F5" s="152"/>
      <c r="G5" s="155"/>
      <c r="H5" s="152"/>
      <c r="I5" s="156"/>
      <c r="J5" s="152"/>
      <c r="K5" s="185"/>
      <c r="L5" s="152"/>
    </row>
    <row r="6" spans="1:12" ht="30" customHeight="1" x14ac:dyDescent="0.25">
      <c r="A6" s="1"/>
      <c r="B6" s="1"/>
      <c r="C6" s="1"/>
      <c r="D6" s="185"/>
      <c r="E6" s="1"/>
      <c r="F6" s="157"/>
      <c r="G6" s="1"/>
      <c r="H6" s="1"/>
      <c r="I6" s="1"/>
      <c r="J6" s="1"/>
      <c r="K6" s="185"/>
      <c r="L6" s="1"/>
    </row>
    <row r="7" spans="1:12" ht="30" customHeight="1" x14ac:dyDescent="0.25">
      <c r="A7" s="1"/>
      <c r="B7" s="1"/>
      <c r="C7" s="1"/>
      <c r="D7" s="185"/>
      <c r="E7" s="1"/>
      <c r="F7" s="1"/>
      <c r="G7" s="1"/>
      <c r="H7" s="1"/>
      <c r="I7" s="1"/>
      <c r="J7" s="1"/>
      <c r="K7" s="185"/>
      <c r="L7" s="1"/>
    </row>
    <row r="8" spans="1:12" ht="30" customHeight="1" x14ac:dyDescent="0.25">
      <c r="A8" s="1"/>
      <c r="B8" s="1"/>
      <c r="C8" s="1"/>
      <c r="D8" s="185"/>
      <c r="E8" s="1"/>
      <c r="F8" s="1"/>
      <c r="G8" s="1"/>
      <c r="H8" s="1"/>
      <c r="I8" s="1"/>
      <c r="J8" s="1"/>
      <c r="K8" s="185"/>
      <c r="L8" s="1"/>
    </row>
    <row r="9" spans="1:12" ht="30" customHeight="1" x14ac:dyDescent="0.25">
      <c r="A9" s="1"/>
      <c r="B9" s="1"/>
      <c r="C9" s="1"/>
      <c r="D9" s="185"/>
      <c r="E9" s="1"/>
      <c r="F9" s="1"/>
      <c r="G9" s="1"/>
      <c r="H9" s="1"/>
      <c r="I9" s="1"/>
      <c r="J9" s="1"/>
      <c r="K9" s="185"/>
      <c r="L9" s="1"/>
    </row>
    <row r="69" spans="1:1" x14ac:dyDescent="0.25">
      <c r="A69" t="s">
        <v>65</v>
      </c>
    </row>
    <row r="70" spans="1:1" x14ac:dyDescent="0.25">
      <c r="A70" t="s">
        <v>66</v>
      </c>
    </row>
    <row r="71" spans="1:1" x14ac:dyDescent="0.25">
      <c r="A71" t="s">
        <v>67</v>
      </c>
    </row>
    <row r="72" spans="1:1" x14ac:dyDescent="0.25">
      <c r="A72" t="s">
        <v>68</v>
      </c>
    </row>
    <row r="73" spans="1:1" x14ac:dyDescent="0.25">
      <c r="A73" t="s">
        <v>69</v>
      </c>
    </row>
  </sheetData>
  <dataValidations count="6">
    <dataValidation type="list" allowBlank="1" showInputMessage="1" showErrorMessage="1" sqref="D2:D9" xr:uid="{00000000-0002-0000-0700-000000000000}">
      <formula1>$A$69:$A$73</formula1>
    </dataValidation>
    <dataValidation type="list" allowBlank="1" showInputMessage="1" showErrorMessage="1" sqref="K2:K9" xr:uid="{2BEA0C3E-6F46-4225-A774-C3C094B62B37}">
      <formula1>"not implemented, in progress, done"</formula1>
    </dataValidation>
    <dataValidation allowBlank="1" showInputMessage="1" showErrorMessage="1" prompt="This sheet is to summerize all learning captured during project and possible actions took in order to adapt and learn, main responsibility is program to fill, MEAL to monitor, support and follow up" sqref="C1" xr:uid="{9DA3B794-743D-47ED-841E-C092B22C3732}"/>
    <dataValidation allowBlank="1" showInputMessage="1" showErrorMessage="1" prompt="where is the learning come from i.e monitoring visit, observations report, final evaluation report,..etc" sqref="D1" xr:uid="{1199E51A-D5E4-41E1-BC6C-97B0AACE5D87}"/>
    <dataValidation allowBlank="1" showInputMessage="1" showErrorMessage="1" prompt="Specifically state here the learning captured" sqref="F1" xr:uid="{BCFBF998-CD29-4F9B-B10C-CDD03CC9D8B4}"/>
    <dataValidation allowBlank="1" showInputMessage="1" showErrorMessage="1" prompt="Discuss and add the feasible actions to be taken, actions that are not feasible should not be considered, prefer to discuss and agree before formulating the action_x000a_" sqref="H1" xr:uid="{EEC4B3A1-B748-4FC4-BB27-5FFA365ACD25}"/>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Instructions</vt:lpstr>
      <vt:lpstr>Poject Info. Sheet</vt:lpstr>
      <vt:lpstr>Log frame</vt:lpstr>
      <vt:lpstr>Overview Dashboard</vt:lpstr>
      <vt:lpstr>Indicator Profile</vt:lpstr>
      <vt:lpstr>Project Work plan</vt:lpstr>
      <vt:lpstr>ورقة1</vt:lpstr>
      <vt:lpstr>Project Tracking Table -PTT</vt:lpstr>
      <vt:lpstr>Output indicators</vt:lpstr>
      <vt:lpstr>Outcome indicators</vt:lpstr>
      <vt:lpstr>Beneficiaries Breakdown</vt:lpstr>
      <vt:lpstr>MEAL Calendar</vt:lpstr>
      <vt:lpstr>Assumptions Monitoring</vt:lpstr>
      <vt:lpstr>Learning Managment Process</vt:lpstr>
      <vt:lpstr>'MEAL Calendar'!Print_Titles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Alostaz</dc:creator>
  <cp:lastModifiedBy>Walaa' Abu Zaiter</cp:lastModifiedBy>
  <dcterms:created xsi:type="dcterms:W3CDTF">2015-06-05T18:17:20Z</dcterms:created>
  <dcterms:modified xsi:type="dcterms:W3CDTF">2020-12-19T16:19:57Z</dcterms:modified>
</cp:coreProperties>
</file>